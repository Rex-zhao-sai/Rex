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P:\SAM&amp;PD\Public\50 RFQ\ZKW\ZKW1420 BMW\2026-07-23_BEW\1_RFQ\BOM\"/>
    </mc:Choice>
  </mc:AlternateContent>
  <xr:revisionPtr revIDLastSave="0" documentId="13_ncr:1_{114C4559-5B41-48B9-8B05-23062EE8F3DB}" xr6:coauthVersionLast="47" xr6:coauthVersionMax="47" xr10:uidLastSave="{00000000-0000-0000-0000-000000000000}"/>
  <bookViews>
    <workbookView xWindow="0" yWindow="-16320" windowWidth="29040" windowHeight="15720" xr2:uid="{00000000-000D-0000-FFFF-FFFF00000000}"/>
  </bookViews>
  <sheets>
    <sheet name="BOM" sheetId="1" r:id="rId1"/>
    <sheet name="SAP BOM" sheetId="5" r:id="rId2"/>
    <sheet name="Combination matrix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" i="5" l="1"/>
  <c r="F34" i="5"/>
  <c r="F33" i="5"/>
  <c r="F32" i="5"/>
  <c r="F31" i="5"/>
  <c r="F30" i="5"/>
  <c r="F29" i="5"/>
  <c r="F28" i="5"/>
  <c r="F27" i="5"/>
  <c r="L3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8" i="5"/>
  <c r="F7" i="5"/>
  <c r="L5" i="5"/>
  <c r="D5" i="5" l="1"/>
  <c r="A8" i="5" l="1"/>
</calcChain>
</file>

<file path=xl/sharedStrings.xml><?xml version="1.0" encoding="utf-8"?>
<sst xmlns="http://schemas.openxmlformats.org/spreadsheetml/2006/main" count="1128" uniqueCount="295">
  <si>
    <t>Pos.</t>
  </si>
  <si>
    <t>Binning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</si>
  <si>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</si>
  <si>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</si>
  <si>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</si>
  <si>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</si>
  <si>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</si>
  <si>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</si>
  <si>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</si>
  <si>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</si>
  <si>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</si>
  <si>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</si>
  <si>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GLUE LOCTITE 3621</t>
  </si>
  <si>
    <t>SAP Nr</t>
  </si>
  <si>
    <t>Anzahl Komponenten in technische Stückliste</t>
  </si>
  <si>
    <t>Anzahl Komponenten in Fertigungsstückliste</t>
  </si>
  <si>
    <t>T</t>
  </si>
  <si>
    <t>Material number</t>
  </si>
  <si>
    <t>Description</t>
  </si>
  <si>
    <t>Base quantity</t>
  </si>
  <si>
    <t>Change note</t>
  </si>
  <si>
    <t>Date created</t>
  </si>
  <si>
    <t>Creator</t>
  </si>
  <si>
    <t>Variant number</t>
  </si>
  <si>
    <t>MPN</t>
  </si>
  <si>
    <t>R Value</t>
  </si>
  <si>
    <t>MPN1</t>
  </si>
  <si>
    <t>MPN2</t>
  </si>
  <si>
    <t>MPN3</t>
  </si>
  <si>
    <t>Type</t>
  </si>
  <si>
    <t>Component</t>
  </si>
  <si>
    <t>Quantity (1)</t>
  </si>
  <si>
    <t>Quantity 
(Base quantity)</t>
  </si>
  <si>
    <t>Unit</t>
  </si>
  <si>
    <t>Descriptor</t>
  </si>
  <si>
    <t>Comment</t>
  </si>
  <si>
    <t>Side</t>
  </si>
  <si>
    <t>ML</t>
  </si>
  <si>
    <t>G</t>
  </si>
  <si>
    <t>PartNumber</t>
  </si>
  <si>
    <t>Designator</t>
  </si>
  <si>
    <t>C202</t>
  </si>
  <si>
    <t>C203</t>
  </si>
  <si>
    <t>C207</t>
  </si>
  <si>
    <t>R202</t>
  </si>
  <si>
    <t>R212</t>
  </si>
  <si>
    <t>R213</t>
  </si>
  <si>
    <t>C206</t>
  </si>
  <si>
    <t>C104</t>
  </si>
  <si>
    <t>C105</t>
  </si>
  <si>
    <t>C208</t>
  </si>
  <si>
    <t>C209</t>
  </si>
  <si>
    <t>SP100</t>
  </si>
  <si>
    <t>C200</t>
  </si>
  <si>
    <t>C204</t>
  </si>
  <si>
    <t>U200</t>
  </si>
  <si>
    <t>P100</t>
  </si>
  <si>
    <t>C106</t>
  </si>
  <si>
    <t>U100</t>
  </si>
  <si>
    <t>PCB100</t>
  </si>
  <si>
    <t>LED200</t>
  </si>
  <si>
    <t>LED201</t>
  </si>
  <si>
    <t>LED202</t>
  </si>
  <si>
    <t>LED203</t>
  </si>
  <si>
    <t>LED204</t>
  </si>
  <si>
    <t>LED205</t>
  </si>
  <si>
    <t>LED206</t>
  </si>
  <si>
    <t>LED207</t>
  </si>
  <si>
    <t>LED208</t>
  </si>
  <si>
    <t>LED209</t>
  </si>
  <si>
    <t>LED210</t>
  </si>
  <si>
    <t>LED211</t>
  </si>
  <si>
    <t>LED212</t>
  </si>
  <si>
    <t>LED213</t>
  </si>
  <si>
    <t>LED214</t>
  </si>
  <si>
    <t>LED215</t>
  </si>
  <si>
    <t>C100</t>
  </si>
  <si>
    <t>C101</t>
  </si>
  <si>
    <t>C102</t>
  </si>
  <si>
    <t>C103</t>
  </si>
  <si>
    <t>C115</t>
  </si>
  <si>
    <t>R102</t>
  </si>
  <si>
    <t>R106</t>
  </si>
  <si>
    <t>R107</t>
  </si>
  <si>
    <t>R108</t>
  </si>
  <si>
    <t>R109</t>
  </si>
  <si>
    <t>R209</t>
  </si>
  <si>
    <t>R210</t>
  </si>
  <si>
    <t>R211</t>
  </si>
  <si>
    <t>R100</t>
  </si>
  <si>
    <t>R101</t>
  </si>
  <si>
    <t>R201</t>
  </si>
  <si>
    <t>R207</t>
  </si>
  <si>
    <t>R103</t>
  </si>
  <si>
    <t>R200</t>
  </si>
  <si>
    <t>C107</t>
  </si>
  <si>
    <t>C212</t>
  </si>
  <si>
    <t>C112</t>
  </si>
  <si>
    <t>C113</t>
  </si>
  <si>
    <t>R104</t>
  </si>
  <si>
    <t>R105</t>
  </si>
  <si>
    <t>C108</t>
  </si>
  <si>
    <t>C210</t>
  </si>
  <si>
    <t>C213</t>
  </si>
  <si>
    <t>C CER SMD 100n PM10 0603 100V X7R FX</t>
  </si>
  <si>
    <t>R NTC SMD 100K PM1 0603 R/T 8507 B4455K</t>
  </si>
  <si>
    <t>R JMP SMD 0R 0805 2,0A FX</t>
  </si>
  <si>
    <t>C CER SMD 470n PM10 0603 25V X7R</t>
  </si>
  <si>
    <t>C CER SMD 100p PM10 0603 100V C0G</t>
  </si>
  <si>
    <t>C CER SMD 100p PM5 0402 50V C0G</t>
  </si>
  <si>
    <t>SOLD KOKI COMPANY SB6NX58-M500SI PASTE</t>
  </si>
  <si>
    <t>C CER SMD 1u PM10 0805 100V X7S FX</t>
  </si>
  <si>
    <t>IC SFU SMD TPS92665QPHPRQ1 QFP48EP MAT</t>
  </si>
  <si>
    <t>CON SID SMD KH1810101-21 KH1810101- 8P BK</t>
  </si>
  <si>
    <t>C CER SMD 4n7 PM10 0603 50V X7R FX</t>
  </si>
  <si>
    <t>IC IF SMD TCAN1057AVDRBRQ1 SON8EP CAN</t>
  </si>
  <si>
    <t>PCB E25006 HB L 01 LGT ADB_HIGH</t>
  </si>
  <si>
    <t>LED SMD NCSW131HT-SA B415R425-NW60D</t>
  </si>
  <si>
    <t>C CER SMD 100n PM10 0805 100V X7R FX</t>
  </si>
  <si>
    <t>R JMP SMD 0R 0603 1,0A</t>
  </si>
  <si>
    <t>R JMP SMD 0R 0402 1,0A</t>
  </si>
  <si>
    <t>R SMD 10K PM1 0402 1/16W</t>
  </si>
  <si>
    <t>R SMD 4K7 PM1 0402 1/16W</t>
  </si>
  <si>
    <t>R SMD 100R PM1 0402 1/16W</t>
  </si>
  <si>
    <t>C CER SMD 1u PM10 0603 16V X7R</t>
  </si>
  <si>
    <t>C CER SMD 1u PM10 0805 25V X7R</t>
  </si>
  <si>
    <t>R SMD 330R PM1 0805 1/4W</t>
  </si>
  <si>
    <t>C CER SMD 100n PM10 0402 16V X7R</t>
  </si>
  <si>
    <t>VALUE</t>
  </si>
  <si>
    <t>100n</t>
  </si>
  <si>
    <t>100K</t>
  </si>
  <si>
    <t>0R</t>
  </si>
  <si>
    <t>470n</t>
  </si>
  <si>
    <t>100p</t>
  </si>
  <si>
    <t>KOKI COMPANY SB6NX58-M500SI</t>
  </si>
  <si>
    <t>1u</t>
  </si>
  <si>
    <t>TPS92665QPHPRQ1</t>
  </si>
  <si>
    <t>KH1810101-21</t>
  </si>
  <si>
    <t>4n7</t>
  </si>
  <si>
    <t>TCAN1057AVDRBRQ1</t>
  </si>
  <si>
    <t>E25006 HB L 01 LGT ADB_HIGH</t>
  </si>
  <si>
    <t>NCSW131HT-SA B415R425-NW60D</t>
  </si>
  <si>
    <t>10K</t>
  </si>
  <si>
    <t>4K7</t>
  </si>
  <si>
    <t>100R</t>
  </si>
  <si>
    <t>330R</t>
  </si>
  <si>
    <t>Quantity</t>
  </si>
  <si>
    <t>Manufacturer1</t>
  </si>
  <si>
    <t>MURATA</t>
  </si>
  <si>
    <t>TDK</t>
  </si>
  <si>
    <t>PANASONIC</t>
  </si>
  <si>
    <t>AVX</t>
  </si>
  <si>
    <t>KOKI COMPANY</t>
  </si>
  <si>
    <t>TEXAS INSTRUMENTS</t>
  </si>
  <si>
    <t>UJU ELECTRONICS</t>
  </si>
  <si>
    <t>NICHIA</t>
  </si>
  <si>
    <t>KOA</t>
  </si>
  <si>
    <t>VISHAY</t>
  </si>
  <si>
    <t>SAMSUNG ELECTRO-MECHANICS</t>
  </si>
  <si>
    <t>Manufacturer_Part_Number1</t>
  </si>
  <si>
    <t>GCJ188R72A104KA01D</t>
  </si>
  <si>
    <t>B57352V5104F360</t>
  </si>
  <si>
    <t>ERJ6GEY0R00V</t>
  </si>
  <si>
    <t>CGA3E3X7R1E474K080AB</t>
  </si>
  <si>
    <t>KAM15ACG2A101KT</t>
  </si>
  <si>
    <t>GCM1555C1H101JA16D</t>
  </si>
  <si>
    <t>SB6NX58-M500SI</t>
  </si>
  <si>
    <t>GCJ21BC72A105KE02</t>
  </si>
  <si>
    <t>GCJ188R71H472KA01</t>
  </si>
  <si>
    <t>KAF21KR72A104KU</t>
  </si>
  <si>
    <t>RK73Z1JTTD</t>
  </si>
  <si>
    <t>CRCW04020000Z0ED</t>
  </si>
  <si>
    <t>RK73H1ETTP1002F</t>
  </si>
  <si>
    <t>RK73H1ETTP4701F</t>
  </si>
  <si>
    <t>RK73H1ETTP1000F</t>
  </si>
  <si>
    <t>GCM188R71C105KA64D</t>
  </si>
  <si>
    <t>KAM21KR71E105KL</t>
  </si>
  <si>
    <t>RK73H2ATTD3300F</t>
  </si>
  <si>
    <t>CL05B104KO5VPN</t>
  </si>
  <si>
    <t>Manufacturer2</t>
  </si>
  <si>
    <t>TAIYO YUDEN</t>
  </si>
  <si>
    <t>YAGEO</t>
  </si>
  <si>
    <t>NXP SEMICONDUCTORS</t>
  </si>
  <si>
    <t>KEMET</t>
  </si>
  <si>
    <t>Manufacturer_Part_Number2</t>
  </si>
  <si>
    <t>MCJCH168BB7104KTPA01</t>
  </si>
  <si>
    <t>GCM188R71E474KA64J</t>
  </si>
  <si>
    <t>AC0603JRNPO0BN101</t>
  </si>
  <si>
    <t>CGA2B2C0G1H101J050BA</t>
  </si>
  <si>
    <t>CGA4J3X7S2A105K125AE</t>
  </si>
  <si>
    <t>KAF15AR71H472KT</t>
  </si>
  <si>
    <t>TJA1057BTK</t>
  </si>
  <si>
    <t>C0805X104K1RACAUTO</t>
  </si>
  <si>
    <t>CRCW06030000Z0EA</t>
  </si>
  <si>
    <t>AC0402JR-070RL</t>
  </si>
  <si>
    <t>CRCW040210K0FKED</t>
  </si>
  <si>
    <t>CRCW04024K70FKED</t>
  </si>
  <si>
    <t>CRCW0402100RFKED</t>
  </si>
  <si>
    <t>CGA3E1X7R1C105K080AC</t>
  </si>
  <si>
    <t>GCM21BR71E105KA56L</t>
  </si>
  <si>
    <t>ERJP06F3300V</t>
  </si>
  <si>
    <t>MCASE105SB7104KFNA01</t>
  </si>
  <si>
    <t>Manufacturer3</t>
  </si>
  <si>
    <t>Manufacturer_Part_Number3</t>
  </si>
  <si>
    <t>MCAST168SB7474KTNA01</t>
  </si>
  <si>
    <t>GCM1885C2A101JA16D</t>
  </si>
  <si>
    <t>CGA3E2X7R1H472K080AE</t>
  </si>
  <si>
    <t>MCJCH21GBB7104KTPA01</t>
  </si>
  <si>
    <t>AC0603JR-070RL</t>
  </si>
  <si>
    <t>RK73Z1ETTD</t>
  </si>
  <si>
    <t>AC0402FR-0710KL</t>
  </si>
  <si>
    <t>AC0402FR-074K7L</t>
  </si>
  <si>
    <t>AC0402FR-07100RL</t>
  </si>
  <si>
    <t>MCASE168SB7105KTNA01</t>
  </si>
  <si>
    <t>MCAST21GSB7105KTNB25</t>
  </si>
  <si>
    <t>CRCW0805330RFKEAHP</t>
  </si>
  <si>
    <t>GCM155R71C104KA55</t>
  </si>
  <si>
    <t>Layer</t>
  </si>
  <si>
    <t>None</t>
  </si>
  <si>
    <t>Top</t>
  </si>
  <si>
    <t>Part_List_Exclude</t>
  </si>
  <si>
    <t>PTyp</t>
  </si>
  <si>
    <t>L</t>
  </si>
  <si>
    <t>K</t>
  </si>
  <si>
    <t>QTY_Unit</t>
  </si>
  <si>
    <t>ST</t>
  </si>
  <si>
    <t>Manufacturer4</t>
  </si>
  <si>
    <t>ROHM SEMICONDUCTOR</t>
  </si>
  <si>
    <t>Manufacturer_Part_Number4</t>
  </si>
  <si>
    <t>GCJ21BR72A104KA01</t>
  </si>
  <si>
    <t>ERJ3GEY0R00V</t>
  </si>
  <si>
    <t>ERJ2GEY0R00V</t>
  </si>
  <si>
    <t>MCR01MZPF1002</t>
  </si>
  <si>
    <t>MCR01MZPF4701</t>
  </si>
  <si>
    <t>MCR01MZPF1000</t>
  </si>
  <si>
    <t>CL10B105KA8VPNC</t>
  </si>
  <si>
    <t>CGA4J3X7R1E105K125AB</t>
  </si>
  <si>
    <t>AC0805FR-7W330RL</t>
  </si>
  <si>
    <t>AC0402KPX7R7BB104</t>
  </si>
  <si>
    <t>Manufacturer5</t>
  </si>
  <si>
    <t>ASJ</t>
  </si>
  <si>
    <t>WALSIN TECHNOLOGY</t>
  </si>
  <si>
    <t>Manufacturer_Part_Number5</t>
  </si>
  <si>
    <t>CR16-000-ZK</t>
  </si>
  <si>
    <t>CR10-000-ZK</t>
  </si>
  <si>
    <t>MT15B104K160CT</t>
  </si>
  <si>
    <t>MPN1_Lifecycle</t>
  </si>
  <si>
    <t>ACT</t>
  </si>
  <si>
    <t>MPN2_Lifecycle</t>
  </si>
  <si>
    <t>CAND</t>
  </si>
  <si>
    <t>OBS</t>
  </si>
  <si>
    <t>MPN3_Lifecycle</t>
  </si>
  <si>
    <t>MPN4_Lifecycle</t>
  </si>
  <si>
    <t>MPN5_Lifecycle</t>
  </si>
  <si>
    <t>85077502</t>
  </si>
  <si>
    <t>E25006 HB L 02 LGT ADB_HIGH_5V</t>
  </si>
  <si>
    <t>ECR02</t>
  </si>
  <si>
    <t>30.06.2026 15:47</t>
  </si>
  <si>
    <t>M. Mayerhofer</t>
  </si>
  <si>
    <t>0,13</t>
  </si>
  <si>
    <t>0,0032</t>
  </si>
  <si>
    <t>Combination Matrix</t>
  </si>
  <si>
    <t>LED {80123000}</t>
  </si>
  <si>
    <t>R {-}</t>
  </si>
  <si>
    <t>B415</t>
  </si>
  <si>
    <t>80123001</t>
  </si>
  <si>
    <t>-</t>
  </si>
  <si>
    <t>DMC</t>
  </si>
  <si>
    <t>R425</t>
  </si>
  <si>
    <t>80123002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</si>
  <si>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</si>
  <si>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</si>
  <si>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</si>
  <si>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</si>
  <si>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</si>
  <si>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</si>
  <si>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</si>
  <si>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</si>
  <si>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</si>
  <si>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</si>
  <si>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R102, R106, R107, R108, R109</t>
  </si>
  <si>
    <t>C112, C113</t>
  </si>
  <si>
    <t>C100, C101, C102, C103, C115</t>
  </si>
  <si>
    <t>R100, R101</t>
  </si>
  <si>
    <t>R201, R207</t>
  </si>
  <si>
    <t>R209, R210, R211</t>
  </si>
  <si>
    <t>C202, C203, C207</t>
  </si>
  <si>
    <t>R212, R213</t>
  </si>
  <si>
    <t>C104, C105</t>
  </si>
  <si>
    <t>C208, C209</t>
  </si>
  <si>
    <t>R104, R105</t>
  </si>
  <si>
    <t>C200, C204</t>
  </si>
  <si>
    <t>C210, C213</t>
  </si>
  <si>
    <t>K_80123000</t>
  </si>
  <si>
    <t>LED200, LED201, LED202, LED203, LED204, LED205, LED206, LED207, LED208, LED209, LED210, LED211, LED212, LED213, LED214, LED215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</si>
</sst>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family val="2"/>
      <scheme val="minor"/>
    </font>
    <font>
      <sz val="8"/>
      <color rgb="FF000000"/>
      <name val="Segoe UI"/>
      <family val="2"/>
    </font>
    <font>
      <b/>
      <sz val="11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rgb="FF000000"/>
      <name val="Calibri"/>
      <family val="2"/>
    </font>
    <font>
      <sz val="22"/>
      <color theme="1"/>
      <name val="宋体"/>
      <family val="2"/>
      <scheme val="minor"/>
    </font>
    <font>
      <b/>
      <sz val="16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2" borderId="1" xfId="0" quotePrefix="1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14" fontId="0" fillId="0" borderId="3" xfId="0" applyNumberFormat="1" applyBorder="1" applyAlignment="1" applyProtection="1">
      <alignment horizontal="center"/>
      <protection locked="0"/>
    </xf>
    <xf numFmtId="14" fontId="0" fillId="0" borderId="4" xfId="0" applyNumberFormat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14" fontId="0" fillId="0" borderId="3" xfId="0" applyNumberFormat="1" applyBorder="1" applyProtection="1">
      <protection locked="0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0" fontId="3" fillId="0" borderId="12" xfId="0" quotePrefix="1" applyFont="1" applyBorder="1" applyAlignment="1" applyProtection="1">
      <alignment horizontal="left"/>
      <protection locked="0"/>
    </xf>
    <xf numFmtId="0" fontId="0" fillId="0" borderId="12" xfId="0" quotePrefix="1" applyBorder="1" applyAlignment="1" applyProtection="1">
      <alignment horizontal="center"/>
      <protection locked="0"/>
    </xf>
    <xf numFmtId="0" fontId="0" fillId="0" borderId="6" xfId="0" applyBorder="1"/>
    <xf numFmtId="0" fontId="0" fillId="0" borderId="20" xfId="0" applyBorder="1"/>
    <xf numFmtId="0" fontId="0" fillId="0" borderId="21" xfId="0" applyBorder="1"/>
    <xf numFmtId="0" fontId="0" fillId="0" borderId="8" xfId="0" applyBorder="1"/>
    <xf numFmtId="0" fontId="6" fillId="0" borderId="0" xfId="0" applyFont="1"/>
    <xf numFmtId="0" fontId="0" fillId="0" borderId="9" xfId="0" applyBorder="1"/>
    <xf numFmtId="0" fontId="2" fillId="3" borderId="27" xfId="0" applyFont="1" applyFill="1" applyBorder="1" applyAlignment="1">
      <alignment horizontal="center"/>
    </xf>
    <xf numFmtId="0" fontId="2" fillId="3" borderId="28" xfId="0" applyFont="1" applyFill="1" applyBorder="1" applyAlignment="1">
      <alignment horizontal="center"/>
    </xf>
    <xf numFmtId="0" fontId="2" fillId="4" borderId="28" xfId="0" applyFont="1" applyFill="1" applyBorder="1" applyAlignment="1">
      <alignment horizontal="center"/>
    </xf>
    <xf numFmtId="0" fontId="2" fillId="4" borderId="29" xfId="0" applyFont="1" applyFill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0" fontId="0" fillId="0" borderId="7" xfId="0" applyBorder="1"/>
    <xf numFmtId="0" fontId="0" fillId="0" borderId="2" xfId="0" applyBorder="1"/>
    <xf numFmtId="0" fontId="0" fillId="0" borderId="32" xfId="0" applyBorder="1"/>
    <xf numFmtId="0" fontId="0" fillId="0" borderId="18" xfId="0" applyBorder="1"/>
    <xf numFmtId="0" fontId="2" fillId="0" borderId="11" xfId="0" applyFont="1" applyBorder="1" applyAlignment="1">
      <alignment horizontal="center"/>
    </xf>
    <xf numFmtId="0" fontId="2" fillId="0" borderId="11" xfId="0" applyFont="1" applyBorder="1" applyAlignment="1">
      <alignment wrapText="1"/>
    </xf>
    <xf numFmtId="0" fontId="2" fillId="0" borderId="11" xfId="0" applyFont="1" applyBorder="1" applyAlignment="1">
      <alignment horizontal="center" wrapText="1"/>
    </xf>
    <xf numFmtId="0" fontId="2" fillId="0" borderId="35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34" xfId="0" applyBorder="1"/>
    <xf numFmtId="0" fontId="0" fillId="0" borderId="19" xfId="0" applyBorder="1"/>
    <xf numFmtId="0" fontId="0" fillId="5" borderId="18" xfId="0" applyFill="1" applyBorder="1" applyAlignment="1">
      <alignment horizontal="center"/>
    </xf>
    <xf numFmtId="0" fontId="0" fillId="5" borderId="18" xfId="0" applyFill="1" applyBorder="1"/>
    <xf numFmtId="0" fontId="0" fillId="5" borderId="33" xfId="0" applyFill="1" applyBorder="1"/>
    <xf numFmtId="0" fontId="2" fillId="0" borderId="2" xfId="0" applyFont="1" applyBorder="1" applyAlignment="1" applyProtection="1">
      <alignment horizontal="center"/>
      <protection locked="0"/>
    </xf>
    <xf numFmtId="0" fontId="3" fillId="0" borderId="10" xfId="0" quotePrefix="1" applyFont="1" applyBorder="1" applyAlignment="1" applyProtection="1">
      <alignment horizontal="left" wrapText="1"/>
      <protection locked="0"/>
    </xf>
    <xf numFmtId="0" fontId="3" fillId="0" borderId="4" xfId="0" applyFont="1" applyBorder="1" applyAlignment="1" applyProtection="1">
      <alignment horizontal="left" wrapText="1"/>
      <protection locked="0"/>
    </xf>
    <xf numFmtId="0" fontId="3" fillId="0" borderId="5" xfId="0" applyFont="1" applyBorder="1" applyAlignment="1" applyProtection="1">
      <alignment horizontal="left" wrapText="1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0" fillId="0" borderId="10" xfId="0" quotePrefix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13" xfId="0" quotePrefix="1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4" xfId="0" applyFont="1" applyFill="1" applyBorder="1" applyAlignment="1">
      <alignment horizontal="center"/>
    </xf>
    <xf numFmtId="0" fontId="2" fillId="3" borderId="25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4" borderId="24" xfId="0" applyFont="1" applyFill="1" applyBorder="1" applyAlignment="1">
      <alignment horizontal="center"/>
    </xf>
    <xf numFmtId="0" fontId="2" fillId="4" borderId="26" xfId="0" applyFont="1" applyFill="1" applyBorder="1" applyAlignment="1">
      <alignment horizontal="center"/>
    </xf>
  </cellXfs>
  <cellStyles count="1">
    <cellStyle name="Normal" xfId="0" builtinId="0"/>
  </cellStyles>
  <dxfs count="49"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rgb="FFFF5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0</xdr:row>
      <xdr:rowOff>76200</xdr:rowOff>
    </xdr:from>
    <xdr:to>
      <xdr:col>8</xdr:col>
      <xdr:colOff>238125</xdr:colOff>
      <xdr:row>0</xdr:row>
      <xdr:rowOff>1038225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610225" y="76200"/>
          <a:ext cx="3324225" cy="9620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US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</a:t>
          </a:r>
          <a:r>
            <a:rPr lang="en-US" sz="110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 </a:t>
          </a:r>
          <a:r>
            <a:rPr lang="en-US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COLORED PART </a:t>
          </a:r>
          <a:r>
            <a:rPr lang="en-US" sz="110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NUMBERS</a:t>
          </a:r>
          <a:r>
            <a:rPr lang="en-US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en-US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1100" u="sng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UNMARKED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Allowed to assembly </a:t>
          </a:r>
          <a:b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YELLOW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Assembly allowed on customer permission  </a:t>
          </a:r>
        </a:p>
        <a:p>
          <a:pPr lvl="0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Assembly not permitted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2</xdr:row>
          <xdr:rowOff>106680</xdr:rowOff>
        </xdr:from>
        <xdr:to>
          <xdr:col>2</xdr:col>
          <xdr:colOff>838200</xdr:colOff>
          <xdr:row>4</xdr:row>
          <xdr:rowOff>60960</xdr:rowOff>
        </xdr:to>
        <xdr:sp macro="" textlink="">
          <xdr:nvSpPr>
            <xdr:cNvPr id="5121" name="Button 1" descr="Bom Conversi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Bom Conversion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171449</xdr:colOff>
      <xdr:row>4</xdr:row>
      <xdr:rowOff>95249</xdr:rowOff>
    </xdr:from>
    <xdr:to>
      <xdr:col>5</xdr:col>
      <xdr:colOff>1143000</xdr:colOff>
      <xdr:row>4</xdr:row>
      <xdr:rowOff>714374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CBDCC4C-2C8E-7DC5-4805-8BD36AE99ACF}"/>
            </a:ext>
          </a:extLst>
        </xdr:cNvPr>
        <xdr:cNvSpPr txBox="1"/>
      </xdr:nvSpPr>
      <xdr:spPr>
        <a:xfrm>
          <a:off x="171449" y="904874"/>
          <a:ext cx="6896101" cy="6191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NOTE:</a:t>
          </a:r>
        </a:p>
        <a:p>
          <a:r>
            <a:rPr lang="en-US" sz="1000"/>
            <a:t>The specification about the solder paste and the glue (Pos. 10 and 20) only applies to PCBA assembly at </a:t>
          </a:r>
          <a:r>
            <a:rPr lang="en-US" sz="1000" b="1"/>
            <a:t>ZKW Lichtsysteme GmbH</a:t>
          </a:r>
          <a:r>
            <a:rPr lang="en-US" sz="1000"/>
            <a:t>.</a:t>
          </a:r>
        </a:p>
        <a:p>
          <a:r>
            <a:rPr lang="en-US" sz="1000"/>
            <a:t>For other EMS, please refer to the requirements in the </a:t>
          </a:r>
          <a:r>
            <a:rPr lang="en-US" sz="1000" b="1"/>
            <a:t>PDR document </a:t>
          </a:r>
          <a:r>
            <a:rPr lang="en-US" sz="1000"/>
            <a:t>provided in the PCBA data package.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382835-40C2-4E30-978A-7B2612683F03}" name="Table7" displayName="Table7" ref="A6:J509" totalsRowShown="0" headerRowDxfId="33" dataDxfId="32" tableBorderDxfId="31">
  <autoFilter ref="A6:J509" xr:uid="{71382835-40C2-4E30-978A-7B2612683F0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xmlns:xlrd2="http://schemas.microsoft.com/office/spreadsheetml/2017/richdata2" ref="A7:J509">
    <sortCondition ref="A7"/>
  </sortState>
  <tableColumns count="10">
    <tableColumn id="1" xr3:uid="{87AF223E-3C75-4454-A045-FD6264461CD4}" name="Pos." dataDxfId="30"/>
    <tableColumn id="2" xr3:uid="{05661B14-8E6F-455D-8FCE-A2F9CB98FB27}" name="Type" dataDxfId="29"/>
    <tableColumn id="3" xr3:uid="{041F6C28-5826-465B-80B4-9D29CCFFC2B4}" name="Component" dataDxfId="28"/>
    <tableColumn id="4" xr3:uid="{1A037F45-85AF-4A8D-AC55-CEE066F1F1B1}" name="Description" dataDxfId="27"/>
    <tableColumn id="5" xr3:uid="{1122EA03-0D29-4D8E-815B-EED81E789904}" name="Quantity (1)" dataDxfId="26"/>
    <tableColumn id="6" xr3:uid="{43DB2F68-AB7C-4573-94D3-C5AEB62E5F2F}" name="Quantity _x000a_(Base quantity)" dataDxfId="25"/>
    <tableColumn id="7" xr3:uid="{55EC6BA7-70BE-4C3F-A131-A411C243588B}" name="Unit" dataDxfId="24"/>
    <tableColumn id="8" xr3:uid="{BF58092D-1EEE-415F-9F59-89B538BC8AD0}" name="Descriptor" dataDxfId="23"/>
    <tableColumn id="9" xr3:uid="{DAB006FA-373F-4346-9BB5-3FD47D255333}" name="Side" dataDxfId="22"/>
    <tableColumn id="10" xr3:uid="{C07293F5-B8DD-463C-92C2-7874C3012A95}" name="Comment" dataDxfId="2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30B24-918D-4101-BA39-8884C7ADF206}" name="Table62" displayName="Table62" ref="C7:K26" headerRowCount="0" totalsRowShown="0" headerRowDxfId="20" dataDxfId="19" tableBorderDxfId="18">
  <tableColumns count="9">
    <tableColumn id="1" xr3:uid="{95A1E4C3-5B1B-4A3F-AE34-B63F2A612CC9}" name="Column1" headerRowDxfId="17" dataDxfId="16"/>
    <tableColumn id="2" xr3:uid="{7E0FC0A5-18AD-4009-9466-242EA9930F91}" name="Column2" headerRowDxfId="15" dataDxfId="14"/>
    <tableColumn id="3" xr3:uid="{3853D8CB-F039-47D1-BFE7-BCF2C88964C4}" name="Column3" headerRowDxfId="13" dataDxfId="12"/>
    <tableColumn id="4" xr3:uid="{55C25E4F-5085-4AB0-BD88-4321D2729618}" name="Column4" headerRowDxfId="11" dataDxfId="10"/>
    <tableColumn id="5" xr3:uid="{F115046A-7924-4E7E-9568-CDA1E4BF8114}" name="Column5" headerRowDxfId="9" dataDxfId="8"/>
    <tableColumn id="6" xr3:uid="{9B043ABB-FC80-428C-A398-EA5E786EBEEB}" name="Column6" headerRowDxfId="7" dataDxfId="6"/>
    <tableColumn id="7" xr3:uid="{29CFF5F8-152F-44E6-A0E3-5F9867FA6F62}" name="Column7" headerRowDxfId="5" dataDxfId="4"/>
    <tableColumn id="8" xr3:uid="{ECBC9E53-00AA-4BE9-85E4-6FC7FC3A6238}" name="Column8" headerRowDxfId="3" dataDxfId="2"/>
    <tableColumn id="9" xr3:uid="{771C4F1E-9196-4B26-B07A-E353EDB4D8B3}" name="Column9" headerRowDxfId="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64"/>
  <sheetViews>
    <sheetView tabSelected="1" topLeftCell="C1" workbookViewId="0">
      <selection activeCell="O19" sqref="O19"/>
    </sheetView>
  </sheetViews>
  <sheetFormatPr defaultColWidth="11.44140625" defaultRowHeight="14.4" x14ac:dyDescent="0.25"/>
  <cols>
    <col min="1" max="1" width="9.6640625" customWidth="1"/>
    <col min="2" max="2" width="9.109375" customWidth="1"/>
    <col min="3" max="3" width="35.44140625" bestFit="1" customWidth="1"/>
    <col min="4" max="5" width="14.33203125" customWidth="1"/>
    <col min="6" max="6" width="19" bestFit="1" customWidth="1"/>
    <col min="7" max="11" width="14.33203125" customWidth="1"/>
    <col min="12" max="12" width="7.5546875" customWidth="1"/>
    <col min="13" max="13" width="13.44140625" customWidth="1"/>
    <col min="14" max="14" width="4.44140625" customWidth="1"/>
    <col min="15" max="15" width="7.5546875" customWidth="1"/>
    <col min="16" max="19" width="14.33203125" customWidth="1"/>
    <col min="20" max="24" width="7.109375" customWidth="1"/>
  </cols>
  <sheetData>
    <row r="1" spans="1:24" ht="100.5" customHeight="1" x14ac:dyDescent="0.25">
      <c r="A1" s="1" t="s">
        <v>39</v>
      </c>
      <c r="B1" s="1" t="s">
        <v>40</v>
      </c>
      <c r="C1" s="1" t="s">
        <v>18</v>
      </c>
      <c r="D1" s="1" t="s">
        <v>128</v>
      </c>
      <c r="E1" s="1" t="s">
        <v>146</v>
      </c>
      <c r="F1" s="1" t="s">
        <v>147</v>
      </c>
      <c r="G1" s="1" t="s">
        <v>159</v>
      </c>
      <c r="H1" s="1" t="s">
        <v>179</v>
      </c>
      <c r="I1" s="1" t="s">
        <v>184</v>
      </c>
      <c r="J1" s="1" t="s">
        <v>202</v>
      </c>
      <c r="K1" s="1" t="s">
        <v>203</v>
      </c>
      <c r="L1" s="1" t="s">
        <v>217</v>
      </c>
      <c r="M1" s="1" t="s">
        <v>220</v>
      </c>
      <c r="N1" s="1" t="s">
        <v>221</v>
      </c>
      <c r="O1" s="1" t="s">
        <v>224</v>
      </c>
      <c r="P1" s="1" t="s">
        <v>226</v>
      </c>
      <c r="Q1" s="1" t="s">
        <v>228</v>
      </c>
      <c r="R1" s="1" t="s">
        <v>239</v>
      </c>
      <c r="S1" s="1" t="s">
        <v>242</v>
      </c>
      <c r="T1" s="1" t="s">
        <v>246</v>
      </c>
      <c r="U1" s="1" t="s">
        <v>248</v>
      </c>
      <c r="V1" s="1" t="s">
        <v>251</v>
      </c>
      <c r="W1" s="1" t="s">
        <v>252</v>
      </c>
      <c r="X1" s="1" t="s">
        <v>253</v>
      </c>
    </row>
    <row r="2" spans="1:24" x14ac:dyDescent="0.25">
      <c r="A2">
        <v>77001966</v>
      </c>
      <c r="B2" t="s">
        <v>41</v>
      </c>
      <c r="C2" t="s">
        <v>104</v>
      </c>
      <c r="D2" t="s">
        <v>129</v>
      </c>
      <c r="E2">
        <v>1</v>
      </c>
      <c r="F2" t="s">
        <v>148</v>
      </c>
      <c r="G2" t="s">
        <v>160</v>
      </c>
      <c r="H2" t="s">
        <v>180</v>
      </c>
      <c r="I2" t="s">
        <v>185</v>
      </c>
      <c r="L2" t="s">
        <v>218</v>
      </c>
      <c r="N2" t="s">
        <v>222</v>
      </c>
      <c r="O2" t="s">
        <v>225</v>
      </c>
      <c r="T2" t="s">
        <v>247</v>
      </c>
      <c r="U2" t="s">
        <v>247</v>
      </c>
    </row>
    <row r="3" spans="1:24" x14ac:dyDescent="0.25">
      <c r="A3">
        <v>77001966</v>
      </c>
      <c r="B3" t="s">
        <v>42</v>
      </c>
      <c r="C3" t="s">
        <v>104</v>
      </c>
      <c r="D3" t="s">
        <v>129</v>
      </c>
      <c r="E3">
        <v>1</v>
      </c>
      <c r="F3" t="s">
        <v>148</v>
      </c>
      <c r="G3" t="s">
        <v>160</v>
      </c>
      <c r="H3" t="s">
        <v>180</v>
      </c>
      <c r="I3" t="s">
        <v>185</v>
      </c>
      <c r="L3" t="s">
        <v>218</v>
      </c>
      <c r="N3" t="s">
        <v>222</v>
      </c>
      <c r="O3" t="s">
        <v>225</v>
      </c>
      <c r="T3" t="s">
        <v>247</v>
      </c>
      <c r="U3" t="s">
        <v>247</v>
      </c>
    </row>
    <row r="4" spans="1:24" x14ac:dyDescent="0.25">
      <c r="A4">
        <v>77001966</v>
      </c>
      <c r="B4" t="s">
        <v>43</v>
      </c>
      <c r="C4" t="s">
        <v>104</v>
      </c>
      <c r="D4" t="s">
        <v>129</v>
      </c>
      <c r="E4">
        <v>1</v>
      </c>
      <c r="F4" t="s">
        <v>148</v>
      </c>
      <c r="G4" t="s">
        <v>160</v>
      </c>
      <c r="H4" t="s">
        <v>180</v>
      </c>
      <c r="I4" t="s">
        <v>185</v>
      </c>
      <c r="L4" t="s">
        <v>218</v>
      </c>
      <c r="N4" t="s">
        <v>222</v>
      </c>
      <c r="O4" t="s">
        <v>225</v>
      </c>
      <c r="T4" t="s">
        <v>247</v>
      </c>
      <c r="U4" t="s">
        <v>247</v>
      </c>
    </row>
    <row r="5" spans="1:24" x14ac:dyDescent="0.25">
      <c r="A5">
        <v>77002067</v>
      </c>
      <c r="B5" t="s">
        <v>44</v>
      </c>
      <c r="C5" t="s">
        <v>105</v>
      </c>
      <c r="D5" t="s">
        <v>130</v>
      </c>
      <c r="E5">
        <v>1</v>
      </c>
      <c r="F5" t="s">
        <v>149</v>
      </c>
      <c r="G5" t="s">
        <v>161</v>
      </c>
      <c r="L5" t="s">
        <v>218</v>
      </c>
      <c r="N5" t="s">
        <v>222</v>
      </c>
      <c r="O5" t="s">
        <v>225</v>
      </c>
      <c r="T5" t="s">
        <v>247</v>
      </c>
    </row>
    <row r="6" spans="1:24" x14ac:dyDescent="0.25">
      <c r="A6">
        <v>77002352</v>
      </c>
      <c r="B6" t="s">
        <v>45</v>
      </c>
      <c r="C6" t="s">
        <v>106</v>
      </c>
      <c r="D6" t="s">
        <v>131</v>
      </c>
      <c r="E6">
        <v>1</v>
      </c>
      <c r="F6" t="s">
        <v>150</v>
      </c>
      <c r="G6" t="s">
        <v>162</v>
      </c>
      <c r="L6" t="s">
        <v>218</v>
      </c>
      <c r="N6" t="s">
        <v>222</v>
      </c>
      <c r="O6" t="s">
        <v>225</v>
      </c>
    </row>
    <row r="7" spans="1:24" x14ac:dyDescent="0.25">
      <c r="A7">
        <v>77002352</v>
      </c>
      <c r="B7" t="s">
        <v>46</v>
      </c>
      <c r="C7" t="s">
        <v>106</v>
      </c>
      <c r="D7" t="s">
        <v>131</v>
      </c>
      <c r="E7">
        <v>1</v>
      </c>
      <c r="F7" t="s">
        <v>150</v>
      </c>
      <c r="G7" t="s">
        <v>162</v>
      </c>
      <c r="L7" t="s">
        <v>218</v>
      </c>
      <c r="N7" t="s">
        <v>222</v>
      </c>
      <c r="O7" t="s">
        <v>225</v>
      </c>
    </row>
    <row r="8" spans="1:24" x14ac:dyDescent="0.25">
      <c r="A8">
        <v>77002680</v>
      </c>
      <c r="B8" t="s">
        <v>47</v>
      </c>
      <c r="C8" t="s">
        <v>107</v>
      </c>
      <c r="D8" t="s">
        <v>132</v>
      </c>
      <c r="E8">
        <v>1</v>
      </c>
      <c r="F8" t="s">
        <v>149</v>
      </c>
      <c r="G8" t="s">
        <v>163</v>
      </c>
      <c r="H8" t="s">
        <v>148</v>
      </c>
      <c r="I8" t="s">
        <v>186</v>
      </c>
      <c r="J8" t="s">
        <v>180</v>
      </c>
      <c r="K8" t="s">
        <v>204</v>
      </c>
      <c r="L8" t="s">
        <v>218</v>
      </c>
      <c r="N8" t="s">
        <v>222</v>
      </c>
      <c r="O8" t="s">
        <v>225</v>
      </c>
      <c r="T8" t="s">
        <v>247</v>
      </c>
      <c r="U8" t="s">
        <v>247</v>
      </c>
      <c r="V8" t="s">
        <v>247</v>
      </c>
    </row>
    <row r="9" spans="1:24" x14ac:dyDescent="0.25">
      <c r="A9">
        <v>77002739</v>
      </c>
      <c r="B9" t="s">
        <v>48</v>
      </c>
      <c r="C9" t="s">
        <v>108</v>
      </c>
      <c r="D9" t="s">
        <v>133</v>
      </c>
      <c r="E9">
        <v>1</v>
      </c>
      <c r="F9" t="s">
        <v>151</v>
      </c>
      <c r="G9" t="s">
        <v>164</v>
      </c>
      <c r="H9" t="s">
        <v>181</v>
      </c>
      <c r="I9" t="s">
        <v>187</v>
      </c>
      <c r="J9" t="s">
        <v>148</v>
      </c>
      <c r="K9" t="s">
        <v>205</v>
      </c>
      <c r="L9" t="s">
        <v>219</v>
      </c>
      <c r="N9" t="s">
        <v>222</v>
      </c>
      <c r="O9" t="s">
        <v>225</v>
      </c>
      <c r="T9" t="s">
        <v>247</v>
      </c>
      <c r="U9" t="s">
        <v>247</v>
      </c>
      <c r="V9" t="s">
        <v>247</v>
      </c>
    </row>
    <row r="10" spans="1:24" x14ac:dyDescent="0.25">
      <c r="A10">
        <v>77002739</v>
      </c>
      <c r="B10" t="s">
        <v>49</v>
      </c>
      <c r="C10" t="s">
        <v>108</v>
      </c>
      <c r="D10" t="s">
        <v>133</v>
      </c>
      <c r="E10">
        <v>1</v>
      </c>
      <c r="F10" t="s">
        <v>151</v>
      </c>
      <c r="G10" t="s">
        <v>164</v>
      </c>
      <c r="H10" t="s">
        <v>181</v>
      </c>
      <c r="I10" t="s">
        <v>187</v>
      </c>
      <c r="J10" t="s">
        <v>148</v>
      </c>
      <c r="K10" t="s">
        <v>205</v>
      </c>
      <c r="L10" t="s">
        <v>219</v>
      </c>
      <c r="N10" t="s">
        <v>222</v>
      </c>
      <c r="O10" t="s">
        <v>225</v>
      </c>
      <c r="T10" t="s">
        <v>247</v>
      </c>
      <c r="U10" t="s">
        <v>247</v>
      </c>
      <c r="V10" t="s">
        <v>247</v>
      </c>
    </row>
    <row r="11" spans="1:24" x14ac:dyDescent="0.25">
      <c r="A11">
        <v>77002746</v>
      </c>
      <c r="B11" t="s">
        <v>50</v>
      </c>
      <c r="C11" t="s">
        <v>109</v>
      </c>
      <c r="D11" t="s">
        <v>133</v>
      </c>
      <c r="E11">
        <v>1</v>
      </c>
      <c r="F11" t="s">
        <v>148</v>
      </c>
      <c r="G11" t="s">
        <v>165</v>
      </c>
      <c r="H11" t="s">
        <v>149</v>
      </c>
      <c r="I11" t="s">
        <v>188</v>
      </c>
      <c r="L11" t="s">
        <v>218</v>
      </c>
      <c r="N11" t="s">
        <v>222</v>
      </c>
      <c r="O11" t="s">
        <v>225</v>
      </c>
      <c r="T11" t="s">
        <v>247</v>
      </c>
      <c r="U11" t="s">
        <v>247</v>
      </c>
    </row>
    <row r="12" spans="1:24" x14ac:dyDescent="0.25">
      <c r="A12">
        <v>77002746</v>
      </c>
      <c r="B12" t="s">
        <v>51</v>
      </c>
      <c r="C12" t="s">
        <v>109</v>
      </c>
      <c r="D12" t="s">
        <v>133</v>
      </c>
      <c r="E12">
        <v>1</v>
      </c>
      <c r="F12" t="s">
        <v>148</v>
      </c>
      <c r="G12" t="s">
        <v>165</v>
      </c>
      <c r="H12" t="s">
        <v>149</v>
      </c>
      <c r="I12" t="s">
        <v>188</v>
      </c>
      <c r="L12" t="s">
        <v>218</v>
      </c>
      <c r="N12" t="s">
        <v>222</v>
      </c>
      <c r="O12" t="s">
        <v>225</v>
      </c>
      <c r="T12" t="s">
        <v>247</v>
      </c>
      <c r="U12" t="s">
        <v>247</v>
      </c>
    </row>
    <row r="13" spans="1:24" x14ac:dyDescent="0.25">
      <c r="A13">
        <v>77003526</v>
      </c>
      <c r="B13" t="s">
        <v>52</v>
      </c>
      <c r="C13" t="s">
        <v>110</v>
      </c>
      <c r="D13" t="s">
        <v>134</v>
      </c>
      <c r="E13">
        <v>1</v>
      </c>
      <c r="F13" t="s">
        <v>152</v>
      </c>
      <c r="G13" t="s">
        <v>166</v>
      </c>
      <c r="L13" t="s">
        <v>218</v>
      </c>
      <c r="N13" t="s">
        <v>222</v>
      </c>
      <c r="O13" t="s">
        <v>38</v>
      </c>
      <c r="T13" t="s">
        <v>247</v>
      </c>
    </row>
    <row r="14" spans="1:24" x14ac:dyDescent="0.25">
      <c r="A14">
        <v>77003870</v>
      </c>
      <c r="B14" t="s">
        <v>53</v>
      </c>
      <c r="C14" t="s">
        <v>111</v>
      </c>
      <c r="D14" t="s">
        <v>135</v>
      </c>
      <c r="E14">
        <v>1</v>
      </c>
      <c r="F14" t="s">
        <v>148</v>
      </c>
      <c r="G14" t="s">
        <v>167</v>
      </c>
      <c r="H14" t="s">
        <v>149</v>
      </c>
      <c r="I14" t="s">
        <v>189</v>
      </c>
      <c r="L14" t="s">
        <v>218</v>
      </c>
      <c r="N14" t="s">
        <v>222</v>
      </c>
      <c r="O14" t="s">
        <v>225</v>
      </c>
      <c r="T14" t="s">
        <v>247</v>
      </c>
      <c r="U14" t="s">
        <v>247</v>
      </c>
    </row>
    <row r="15" spans="1:24" x14ac:dyDescent="0.25">
      <c r="A15">
        <v>77003870</v>
      </c>
      <c r="B15" t="s">
        <v>54</v>
      </c>
      <c r="C15" t="s">
        <v>111</v>
      </c>
      <c r="D15" t="s">
        <v>135</v>
      </c>
      <c r="E15">
        <v>1</v>
      </c>
      <c r="F15" t="s">
        <v>148</v>
      </c>
      <c r="G15" t="s">
        <v>167</v>
      </c>
      <c r="H15" t="s">
        <v>149</v>
      </c>
      <c r="I15" t="s">
        <v>189</v>
      </c>
      <c r="L15" t="s">
        <v>218</v>
      </c>
      <c r="N15" t="s">
        <v>222</v>
      </c>
      <c r="O15" t="s">
        <v>225</v>
      </c>
      <c r="T15" t="s">
        <v>247</v>
      </c>
      <c r="U15" t="s">
        <v>247</v>
      </c>
    </row>
    <row r="16" spans="1:24" x14ac:dyDescent="0.25">
      <c r="A16">
        <v>77004170</v>
      </c>
      <c r="B16" t="s">
        <v>55</v>
      </c>
      <c r="C16" t="s">
        <v>112</v>
      </c>
      <c r="D16" t="s">
        <v>136</v>
      </c>
      <c r="E16">
        <v>1</v>
      </c>
      <c r="F16" t="s">
        <v>153</v>
      </c>
      <c r="G16" t="s">
        <v>136</v>
      </c>
      <c r="L16" t="s">
        <v>218</v>
      </c>
      <c r="N16" t="s">
        <v>222</v>
      </c>
      <c r="O16" t="s">
        <v>225</v>
      </c>
      <c r="T16" t="s">
        <v>247</v>
      </c>
    </row>
    <row r="17" spans="1:22" x14ac:dyDescent="0.25">
      <c r="A17">
        <v>77004393</v>
      </c>
      <c r="B17" t="s">
        <v>56</v>
      </c>
      <c r="C17" t="s">
        <v>113</v>
      </c>
      <c r="D17" t="s">
        <v>137</v>
      </c>
      <c r="E17">
        <v>1</v>
      </c>
      <c r="F17" t="s">
        <v>154</v>
      </c>
      <c r="G17" t="s">
        <v>137</v>
      </c>
      <c r="L17" t="s">
        <v>219</v>
      </c>
      <c r="N17" t="s">
        <v>222</v>
      </c>
      <c r="O17" t="s">
        <v>225</v>
      </c>
      <c r="T17" t="s">
        <v>247</v>
      </c>
    </row>
    <row r="18" spans="1:22" x14ac:dyDescent="0.25">
      <c r="A18">
        <v>77004448</v>
      </c>
      <c r="B18" t="s">
        <v>57</v>
      </c>
      <c r="C18" t="s">
        <v>114</v>
      </c>
      <c r="D18" t="s">
        <v>138</v>
      </c>
      <c r="E18">
        <v>1</v>
      </c>
      <c r="F18" t="s">
        <v>148</v>
      </c>
      <c r="G18" t="s">
        <v>168</v>
      </c>
      <c r="H18" t="s">
        <v>151</v>
      </c>
      <c r="I18" t="s">
        <v>190</v>
      </c>
      <c r="J18" t="s">
        <v>149</v>
      </c>
      <c r="K18" t="s">
        <v>206</v>
      </c>
      <c r="L18" t="s">
        <v>219</v>
      </c>
      <c r="N18" t="s">
        <v>222</v>
      </c>
      <c r="O18" t="s">
        <v>225</v>
      </c>
      <c r="T18" t="s">
        <v>247</v>
      </c>
      <c r="U18" t="s">
        <v>247</v>
      </c>
      <c r="V18" t="s">
        <v>247</v>
      </c>
    </row>
    <row r="19" spans="1:22" x14ac:dyDescent="0.25">
      <c r="A19">
        <v>77004600</v>
      </c>
      <c r="B19" t="s">
        <v>58</v>
      </c>
      <c r="C19" t="s">
        <v>115</v>
      </c>
      <c r="D19" t="s">
        <v>139</v>
      </c>
      <c r="E19">
        <v>1</v>
      </c>
      <c r="F19" t="s">
        <v>153</v>
      </c>
      <c r="G19" t="s">
        <v>139</v>
      </c>
      <c r="H19" t="s">
        <v>182</v>
      </c>
      <c r="I19" t="s">
        <v>191</v>
      </c>
      <c r="L19" t="s">
        <v>219</v>
      </c>
      <c r="N19" t="s">
        <v>222</v>
      </c>
      <c r="O19" t="s">
        <v>225</v>
      </c>
      <c r="T19" t="s">
        <v>247</v>
      </c>
      <c r="U19" t="s">
        <v>249</v>
      </c>
    </row>
    <row r="20" spans="1:22" x14ac:dyDescent="0.25">
      <c r="A20">
        <v>80122601</v>
      </c>
      <c r="B20" t="s">
        <v>59</v>
      </c>
      <c r="C20" t="s">
        <v>116</v>
      </c>
      <c r="D20" t="s">
        <v>140</v>
      </c>
      <c r="E20">
        <v>1</v>
      </c>
      <c r="L20" t="s">
        <v>219</v>
      </c>
      <c r="N20" t="s">
        <v>222</v>
      </c>
      <c r="O20" t="s">
        <v>225</v>
      </c>
    </row>
    <row r="21" spans="1:22" x14ac:dyDescent="0.25">
      <c r="A21">
        <v>80123000</v>
      </c>
      <c r="B21" t="s">
        <v>60</v>
      </c>
      <c r="C21" t="s">
        <v>117</v>
      </c>
      <c r="D21" t="s">
        <v>141</v>
      </c>
      <c r="E21">
        <v>1</v>
      </c>
      <c r="F21" t="s">
        <v>155</v>
      </c>
      <c r="G21" t="s">
        <v>141</v>
      </c>
      <c r="L21" t="s">
        <v>218</v>
      </c>
      <c r="N21" t="s">
        <v>223</v>
      </c>
      <c r="O21" t="s">
        <v>225</v>
      </c>
      <c r="T21" t="s">
        <v>247</v>
      </c>
    </row>
    <row r="22" spans="1:22" x14ac:dyDescent="0.25">
      <c r="A22">
        <v>80123000</v>
      </c>
      <c r="B22" t="s">
        <v>61</v>
      </c>
      <c r="C22" t="s">
        <v>117</v>
      </c>
      <c r="D22" t="s">
        <v>141</v>
      </c>
      <c r="E22">
        <v>1</v>
      </c>
      <c r="F22" t="s">
        <v>155</v>
      </c>
      <c r="G22" t="s">
        <v>141</v>
      </c>
      <c r="L22" t="s">
        <v>218</v>
      </c>
      <c r="N22" t="s">
        <v>223</v>
      </c>
      <c r="O22" t="s">
        <v>225</v>
      </c>
      <c r="T22" t="s">
        <v>247</v>
      </c>
    </row>
    <row r="23" spans="1:22" x14ac:dyDescent="0.25">
      <c r="A23">
        <v>80123000</v>
      </c>
      <c r="B23" t="s">
        <v>62</v>
      </c>
      <c r="C23" t="s">
        <v>117</v>
      </c>
      <c r="D23" t="s">
        <v>141</v>
      </c>
      <c r="E23">
        <v>1</v>
      </c>
      <c r="F23" t="s">
        <v>155</v>
      </c>
      <c r="G23" t="s">
        <v>141</v>
      </c>
      <c r="L23" t="s">
        <v>218</v>
      </c>
      <c r="N23" t="s">
        <v>223</v>
      </c>
      <c r="O23" t="s">
        <v>225</v>
      </c>
      <c r="T23" t="s">
        <v>247</v>
      </c>
    </row>
    <row r="24" spans="1:22" x14ac:dyDescent="0.25">
      <c r="A24">
        <v>80123000</v>
      </c>
      <c r="B24" t="s">
        <v>63</v>
      </c>
      <c r="C24" t="s">
        <v>117</v>
      </c>
      <c r="D24" t="s">
        <v>141</v>
      </c>
      <c r="E24">
        <v>1</v>
      </c>
      <c r="F24" t="s">
        <v>155</v>
      </c>
      <c r="G24" t="s">
        <v>141</v>
      </c>
      <c r="L24" t="s">
        <v>218</v>
      </c>
      <c r="N24" t="s">
        <v>223</v>
      </c>
      <c r="O24" t="s">
        <v>225</v>
      </c>
      <c r="T24" t="s">
        <v>247</v>
      </c>
    </row>
    <row r="25" spans="1:22" x14ac:dyDescent="0.25">
      <c r="A25">
        <v>80123000</v>
      </c>
      <c r="B25" t="s">
        <v>64</v>
      </c>
      <c r="C25" t="s">
        <v>117</v>
      </c>
      <c r="D25" t="s">
        <v>141</v>
      </c>
      <c r="E25">
        <v>1</v>
      </c>
      <c r="F25" t="s">
        <v>155</v>
      </c>
      <c r="G25" t="s">
        <v>141</v>
      </c>
      <c r="L25" t="s">
        <v>218</v>
      </c>
      <c r="N25" t="s">
        <v>223</v>
      </c>
      <c r="O25" t="s">
        <v>225</v>
      </c>
      <c r="T25" t="s">
        <v>247</v>
      </c>
    </row>
    <row r="26" spans="1:22" x14ac:dyDescent="0.25">
      <c r="A26">
        <v>80123000</v>
      </c>
      <c r="B26" t="s">
        <v>65</v>
      </c>
      <c r="C26" t="s">
        <v>117</v>
      </c>
      <c r="D26" t="s">
        <v>141</v>
      </c>
      <c r="E26">
        <v>1</v>
      </c>
      <c r="F26" t="s">
        <v>155</v>
      </c>
      <c r="G26" t="s">
        <v>141</v>
      </c>
      <c r="L26" t="s">
        <v>218</v>
      </c>
      <c r="N26" t="s">
        <v>223</v>
      </c>
      <c r="O26" t="s">
        <v>225</v>
      </c>
      <c r="T26" t="s">
        <v>247</v>
      </c>
    </row>
    <row r="27" spans="1:22" x14ac:dyDescent="0.25">
      <c r="A27">
        <v>80123000</v>
      </c>
      <c r="B27" t="s">
        <v>66</v>
      </c>
      <c r="C27" t="s">
        <v>117</v>
      </c>
      <c r="D27" t="s">
        <v>141</v>
      </c>
      <c r="E27">
        <v>1</v>
      </c>
      <c r="F27" t="s">
        <v>155</v>
      </c>
      <c r="G27" t="s">
        <v>141</v>
      </c>
      <c r="L27" t="s">
        <v>218</v>
      </c>
      <c r="N27" t="s">
        <v>223</v>
      </c>
      <c r="O27" t="s">
        <v>225</v>
      </c>
      <c r="T27" t="s">
        <v>247</v>
      </c>
    </row>
    <row r="28" spans="1:22" x14ac:dyDescent="0.25">
      <c r="A28">
        <v>80123000</v>
      </c>
      <c r="B28" t="s">
        <v>67</v>
      </c>
      <c r="C28" t="s">
        <v>117</v>
      </c>
      <c r="D28" t="s">
        <v>141</v>
      </c>
      <c r="E28">
        <v>1</v>
      </c>
      <c r="F28" t="s">
        <v>155</v>
      </c>
      <c r="G28" t="s">
        <v>141</v>
      </c>
      <c r="L28" t="s">
        <v>218</v>
      </c>
      <c r="N28" t="s">
        <v>223</v>
      </c>
      <c r="O28" t="s">
        <v>225</v>
      </c>
      <c r="T28" t="s">
        <v>247</v>
      </c>
    </row>
    <row r="29" spans="1:22" x14ac:dyDescent="0.25">
      <c r="A29">
        <v>80123000</v>
      </c>
      <c r="B29" t="s">
        <v>68</v>
      </c>
      <c r="C29" t="s">
        <v>117</v>
      </c>
      <c r="D29" t="s">
        <v>141</v>
      </c>
      <c r="E29">
        <v>1</v>
      </c>
      <c r="F29" t="s">
        <v>155</v>
      </c>
      <c r="G29" t="s">
        <v>141</v>
      </c>
      <c r="L29" t="s">
        <v>218</v>
      </c>
      <c r="N29" t="s">
        <v>223</v>
      </c>
      <c r="O29" t="s">
        <v>225</v>
      </c>
      <c r="T29" t="s">
        <v>247</v>
      </c>
    </row>
    <row r="30" spans="1:22" x14ac:dyDescent="0.25">
      <c r="A30">
        <v>80123000</v>
      </c>
      <c r="B30" t="s">
        <v>69</v>
      </c>
      <c r="C30" t="s">
        <v>117</v>
      </c>
      <c r="D30" t="s">
        <v>141</v>
      </c>
      <c r="E30">
        <v>1</v>
      </c>
      <c r="F30" t="s">
        <v>155</v>
      </c>
      <c r="G30" t="s">
        <v>141</v>
      </c>
      <c r="L30" t="s">
        <v>218</v>
      </c>
      <c r="N30" t="s">
        <v>223</v>
      </c>
      <c r="O30" t="s">
        <v>225</v>
      </c>
      <c r="T30" t="s">
        <v>247</v>
      </c>
    </row>
    <row r="31" spans="1:22" x14ac:dyDescent="0.25">
      <c r="A31">
        <v>80123000</v>
      </c>
      <c r="B31" t="s">
        <v>70</v>
      </c>
      <c r="C31" t="s">
        <v>117</v>
      </c>
      <c r="D31" t="s">
        <v>141</v>
      </c>
      <c r="E31">
        <v>1</v>
      </c>
      <c r="F31" t="s">
        <v>155</v>
      </c>
      <c r="G31" t="s">
        <v>141</v>
      </c>
      <c r="L31" t="s">
        <v>218</v>
      </c>
      <c r="N31" t="s">
        <v>223</v>
      </c>
      <c r="O31" t="s">
        <v>225</v>
      </c>
      <c r="T31" t="s">
        <v>247</v>
      </c>
    </row>
    <row r="32" spans="1:22" x14ac:dyDescent="0.25">
      <c r="A32">
        <v>80123000</v>
      </c>
      <c r="B32" t="s">
        <v>71</v>
      </c>
      <c r="C32" t="s">
        <v>117</v>
      </c>
      <c r="D32" t="s">
        <v>141</v>
      </c>
      <c r="E32">
        <v>1</v>
      </c>
      <c r="F32" t="s">
        <v>155</v>
      </c>
      <c r="G32" t="s">
        <v>141</v>
      </c>
      <c r="L32" t="s">
        <v>218</v>
      </c>
      <c r="N32" t="s">
        <v>223</v>
      </c>
      <c r="O32" t="s">
        <v>225</v>
      </c>
      <c r="T32" t="s">
        <v>247</v>
      </c>
    </row>
    <row r="33" spans="1:24" x14ac:dyDescent="0.25">
      <c r="A33">
        <v>80123000</v>
      </c>
      <c r="B33" t="s">
        <v>72</v>
      </c>
      <c r="C33" t="s">
        <v>117</v>
      </c>
      <c r="D33" t="s">
        <v>141</v>
      </c>
      <c r="E33">
        <v>1</v>
      </c>
      <c r="F33" t="s">
        <v>155</v>
      </c>
      <c r="G33" t="s">
        <v>141</v>
      </c>
      <c r="L33" t="s">
        <v>218</v>
      </c>
      <c r="N33" t="s">
        <v>223</v>
      </c>
      <c r="O33" t="s">
        <v>225</v>
      </c>
      <c r="T33" t="s">
        <v>247</v>
      </c>
    </row>
    <row r="34" spans="1:24" x14ac:dyDescent="0.25">
      <c r="A34">
        <v>80123000</v>
      </c>
      <c r="B34" t="s">
        <v>73</v>
      </c>
      <c r="C34" t="s">
        <v>117</v>
      </c>
      <c r="D34" t="s">
        <v>141</v>
      </c>
      <c r="E34">
        <v>1</v>
      </c>
      <c r="F34" t="s">
        <v>155</v>
      </c>
      <c r="G34" t="s">
        <v>141</v>
      </c>
      <c r="L34" t="s">
        <v>218</v>
      </c>
      <c r="N34" t="s">
        <v>223</v>
      </c>
      <c r="O34" t="s">
        <v>225</v>
      </c>
      <c r="T34" t="s">
        <v>247</v>
      </c>
    </row>
    <row r="35" spans="1:24" x14ac:dyDescent="0.25">
      <c r="A35">
        <v>80123000</v>
      </c>
      <c r="B35" t="s">
        <v>74</v>
      </c>
      <c r="C35" t="s">
        <v>117</v>
      </c>
      <c r="D35" t="s">
        <v>141</v>
      </c>
      <c r="E35">
        <v>1</v>
      </c>
      <c r="F35" t="s">
        <v>155</v>
      </c>
      <c r="G35" t="s">
        <v>141</v>
      </c>
      <c r="L35" t="s">
        <v>218</v>
      </c>
      <c r="N35" t="s">
        <v>223</v>
      </c>
      <c r="O35" t="s">
        <v>225</v>
      </c>
      <c r="T35" t="s">
        <v>247</v>
      </c>
    </row>
    <row r="36" spans="1:24" x14ac:dyDescent="0.25">
      <c r="A36">
        <v>80123000</v>
      </c>
      <c r="B36" t="s">
        <v>75</v>
      </c>
      <c r="C36" t="s">
        <v>117</v>
      </c>
      <c r="D36" t="s">
        <v>141</v>
      </c>
      <c r="E36">
        <v>1</v>
      </c>
      <c r="F36" t="s">
        <v>155</v>
      </c>
      <c r="G36" t="s">
        <v>141</v>
      </c>
      <c r="L36" t="s">
        <v>218</v>
      </c>
      <c r="N36" t="s">
        <v>223</v>
      </c>
      <c r="O36" t="s">
        <v>225</v>
      </c>
      <c r="T36" t="s">
        <v>247</v>
      </c>
    </row>
    <row r="37" spans="1:24" x14ac:dyDescent="0.25">
      <c r="A37">
        <v>77001494</v>
      </c>
      <c r="B37" t="s">
        <v>76</v>
      </c>
      <c r="C37" t="s">
        <v>118</v>
      </c>
      <c r="D37" t="s">
        <v>129</v>
      </c>
      <c r="E37">
        <v>1</v>
      </c>
      <c r="F37" t="s">
        <v>151</v>
      </c>
      <c r="G37" t="s">
        <v>169</v>
      </c>
      <c r="H37" t="s">
        <v>183</v>
      </c>
      <c r="I37" t="s">
        <v>192</v>
      </c>
      <c r="J37" t="s">
        <v>180</v>
      </c>
      <c r="K37" t="s">
        <v>207</v>
      </c>
      <c r="L37" t="s">
        <v>219</v>
      </c>
      <c r="N37" t="s">
        <v>222</v>
      </c>
      <c r="O37" t="s">
        <v>225</v>
      </c>
      <c r="P37" t="s">
        <v>148</v>
      </c>
      <c r="Q37" t="s">
        <v>229</v>
      </c>
      <c r="T37" t="s">
        <v>247</v>
      </c>
      <c r="U37" t="s">
        <v>250</v>
      </c>
      <c r="V37" t="s">
        <v>247</v>
      </c>
      <c r="W37" t="s">
        <v>247</v>
      </c>
    </row>
    <row r="38" spans="1:24" x14ac:dyDescent="0.25">
      <c r="A38">
        <v>77001494</v>
      </c>
      <c r="B38" t="s">
        <v>77</v>
      </c>
      <c r="C38" t="s">
        <v>118</v>
      </c>
      <c r="D38" t="s">
        <v>129</v>
      </c>
      <c r="E38">
        <v>1</v>
      </c>
      <c r="F38" t="s">
        <v>151</v>
      </c>
      <c r="G38" t="s">
        <v>169</v>
      </c>
      <c r="H38" t="s">
        <v>183</v>
      </c>
      <c r="I38" t="s">
        <v>192</v>
      </c>
      <c r="J38" t="s">
        <v>180</v>
      </c>
      <c r="K38" t="s">
        <v>207</v>
      </c>
      <c r="L38" t="s">
        <v>219</v>
      </c>
      <c r="N38" t="s">
        <v>222</v>
      </c>
      <c r="O38" t="s">
        <v>225</v>
      </c>
      <c r="P38" t="s">
        <v>148</v>
      </c>
      <c r="Q38" t="s">
        <v>229</v>
      </c>
      <c r="T38" t="s">
        <v>247</v>
      </c>
      <c r="U38" t="s">
        <v>250</v>
      </c>
      <c r="V38" t="s">
        <v>247</v>
      </c>
      <c r="W38" t="s">
        <v>247</v>
      </c>
    </row>
    <row r="39" spans="1:24" x14ac:dyDescent="0.25">
      <c r="A39">
        <v>77001494</v>
      </c>
      <c r="B39" t="s">
        <v>78</v>
      </c>
      <c r="C39" t="s">
        <v>118</v>
      </c>
      <c r="D39" t="s">
        <v>129</v>
      </c>
      <c r="E39">
        <v>1</v>
      </c>
      <c r="F39" t="s">
        <v>151</v>
      </c>
      <c r="G39" t="s">
        <v>169</v>
      </c>
      <c r="H39" t="s">
        <v>183</v>
      </c>
      <c r="I39" t="s">
        <v>192</v>
      </c>
      <c r="J39" t="s">
        <v>180</v>
      </c>
      <c r="K39" t="s">
        <v>207</v>
      </c>
      <c r="L39" t="s">
        <v>219</v>
      </c>
      <c r="N39" t="s">
        <v>222</v>
      </c>
      <c r="O39" t="s">
        <v>225</v>
      </c>
      <c r="P39" t="s">
        <v>148</v>
      </c>
      <c r="Q39" t="s">
        <v>229</v>
      </c>
      <c r="T39" t="s">
        <v>247</v>
      </c>
      <c r="U39" t="s">
        <v>250</v>
      </c>
      <c r="V39" t="s">
        <v>247</v>
      </c>
      <c r="W39" t="s">
        <v>247</v>
      </c>
    </row>
    <row r="40" spans="1:24" x14ac:dyDescent="0.25">
      <c r="A40">
        <v>77001494</v>
      </c>
      <c r="B40" t="s">
        <v>79</v>
      </c>
      <c r="C40" t="s">
        <v>118</v>
      </c>
      <c r="D40" t="s">
        <v>129</v>
      </c>
      <c r="E40">
        <v>1</v>
      </c>
      <c r="F40" t="s">
        <v>151</v>
      </c>
      <c r="G40" t="s">
        <v>169</v>
      </c>
      <c r="H40" t="s">
        <v>183</v>
      </c>
      <c r="I40" t="s">
        <v>192</v>
      </c>
      <c r="J40" t="s">
        <v>180</v>
      </c>
      <c r="K40" t="s">
        <v>207</v>
      </c>
      <c r="L40" t="s">
        <v>219</v>
      </c>
      <c r="N40" t="s">
        <v>222</v>
      </c>
      <c r="O40" t="s">
        <v>225</v>
      </c>
      <c r="P40" t="s">
        <v>148</v>
      </c>
      <c r="Q40" t="s">
        <v>229</v>
      </c>
      <c r="T40" t="s">
        <v>247</v>
      </c>
      <c r="U40" t="s">
        <v>250</v>
      </c>
      <c r="V40" t="s">
        <v>247</v>
      </c>
      <c r="W40" t="s">
        <v>247</v>
      </c>
    </row>
    <row r="41" spans="1:24" x14ac:dyDescent="0.25">
      <c r="A41">
        <v>77001494</v>
      </c>
      <c r="B41" t="s">
        <v>80</v>
      </c>
      <c r="C41" t="s">
        <v>118</v>
      </c>
      <c r="D41" t="s">
        <v>129</v>
      </c>
      <c r="E41">
        <v>1</v>
      </c>
      <c r="F41" t="s">
        <v>151</v>
      </c>
      <c r="G41" t="s">
        <v>169</v>
      </c>
      <c r="H41" t="s">
        <v>183</v>
      </c>
      <c r="I41" t="s">
        <v>192</v>
      </c>
      <c r="J41" t="s">
        <v>180</v>
      </c>
      <c r="K41" t="s">
        <v>207</v>
      </c>
      <c r="L41" t="s">
        <v>219</v>
      </c>
      <c r="N41" t="s">
        <v>222</v>
      </c>
      <c r="O41" t="s">
        <v>225</v>
      </c>
      <c r="P41" t="s">
        <v>148</v>
      </c>
      <c r="Q41" t="s">
        <v>229</v>
      </c>
      <c r="T41" t="s">
        <v>247</v>
      </c>
      <c r="U41" t="s">
        <v>250</v>
      </c>
      <c r="V41" t="s">
        <v>247</v>
      </c>
      <c r="W41" t="s">
        <v>247</v>
      </c>
    </row>
    <row r="42" spans="1:24" x14ac:dyDescent="0.25">
      <c r="A42">
        <v>77000013</v>
      </c>
      <c r="B42" t="s">
        <v>81</v>
      </c>
      <c r="C42" t="s">
        <v>119</v>
      </c>
      <c r="D42" t="s">
        <v>131</v>
      </c>
      <c r="E42">
        <v>1</v>
      </c>
      <c r="F42" t="s">
        <v>156</v>
      </c>
      <c r="G42" t="s">
        <v>170</v>
      </c>
      <c r="H42" t="s">
        <v>157</v>
      </c>
      <c r="I42" t="s">
        <v>193</v>
      </c>
      <c r="J42" t="s">
        <v>181</v>
      </c>
      <c r="K42" t="s">
        <v>208</v>
      </c>
      <c r="L42" t="s">
        <v>219</v>
      </c>
      <c r="N42" t="s">
        <v>222</v>
      </c>
      <c r="O42" t="s">
        <v>225</v>
      </c>
      <c r="P42" t="s">
        <v>150</v>
      </c>
      <c r="Q42" t="s">
        <v>230</v>
      </c>
      <c r="R42" t="s">
        <v>240</v>
      </c>
      <c r="S42" t="s">
        <v>243</v>
      </c>
      <c r="T42" t="s">
        <v>247</v>
      </c>
      <c r="U42" t="s">
        <v>247</v>
      </c>
      <c r="V42" t="s">
        <v>247</v>
      </c>
      <c r="W42" t="s">
        <v>247</v>
      </c>
      <c r="X42" t="s">
        <v>247</v>
      </c>
    </row>
    <row r="43" spans="1:24" x14ac:dyDescent="0.25">
      <c r="A43">
        <v>77000013</v>
      </c>
      <c r="B43" t="s">
        <v>82</v>
      </c>
      <c r="C43" t="s">
        <v>119</v>
      </c>
      <c r="D43" t="s">
        <v>131</v>
      </c>
      <c r="E43">
        <v>1</v>
      </c>
      <c r="F43" t="s">
        <v>156</v>
      </c>
      <c r="G43" t="s">
        <v>170</v>
      </c>
      <c r="H43" t="s">
        <v>157</v>
      </c>
      <c r="I43" t="s">
        <v>193</v>
      </c>
      <c r="J43" t="s">
        <v>181</v>
      </c>
      <c r="K43" t="s">
        <v>208</v>
      </c>
      <c r="L43" t="s">
        <v>219</v>
      </c>
      <c r="N43" t="s">
        <v>222</v>
      </c>
      <c r="O43" t="s">
        <v>225</v>
      </c>
      <c r="P43" t="s">
        <v>150</v>
      </c>
      <c r="Q43" t="s">
        <v>230</v>
      </c>
      <c r="R43" t="s">
        <v>240</v>
      </c>
      <c r="S43" t="s">
        <v>243</v>
      </c>
      <c r="T43" t="s">
        <v>247</v>
      </c>
      <c r="U43" t="s">
        <v>247</v>
      </c>
      <c r="V43" t="s">
        <v>247</v>
      </c>
      <c r="W43" t="s">
        <v>247</v>
      </c>
      <c r="X43" t="s">
        <v>247</v>
      </c>
    </row>
    <row r="44" spans="1:24" x14ac:dyDescent="0.25">
      <c r="A44">
        <v>77000013</v>
      </c>
      <c r="B44" t="s">
        <v>83</v>
      </c>
      <c r="C44" t="s">
        <v>119</v>
      </c>
      <c r="D44" t="s">
        <v>131</v>
      </c>
      <c r="E44">
        <v>1</v>
      </c>
      <c r="F44" t="s">
        <v>156</v>
      </c>
      <c r="G44" t="s">
        <v>170</v>
      </c>
      <c r="H44" t="s">
        <v>157</v>
      </c>
      <c r="I44" t="s">
        <v>193</v>
      </c>
      <c r="J44" t="s">
        <v>181</v>
      </c>
      <c r="K44" t="s">
        <v>208</v>
      </c>
      <c r="L44" t="s">
        <v>219</v>
      </c>
      <c r="N44" t="s">
        <v>222</v>
      </c>
      <c r="O44" t="s">
        <v>225</v>
      </c>
      <c r="P44" t="s">
        <v>150</v>
      </c>
      <c r="Q44" t="s">
        <v>230</v>
      </c>
      <c r="R44" t="s">
        <v>240</v>
      </c>
      <c r="S44" t="s">
        <v>243</v>
      </c>
      <c r="T44" t="s">
        <v>247</v>
      </c>
      <c r="U44" t="s">
        <v>247</v>
      </c>
      <c r="V44" t="s">
        <v>247</v>
      </c>
      <c r="W44" t="s">
        <v>247</v>
      </c>
      <c r="X44" t="s">
        <v>247</v>
      </c>
    </row>
    <row r="45" spans="1:24" x14ac:dyDescent="0.25">
      <c r="A45">
        <v>77000013</v>
      </c>
      <c r="B45" t="s">
        <v>84</v>
      </c>
      <c r="C45" t="s">
        <v>119</v>
      </c>
      <c r="D45" t="s">
        <v>131</v>
      </c>
      <c r="E45">
        <v>1</v>
      </c>
      <c r="F45" t="s">
        <v>156</v>
      </c>
      <c r="G45" t="s">
        <v>170</v>
      </c>
      <c r="H45" t="s">
        <v>157</v>
      </c>
      <c r="I45" t="s">
        <v>193</v>
      </c>
      <c r="J45" t="s">
        <v>181</v>
      </c>
      <c r="K45" t="s">
        <v>208</v>
      </c>
      <c r="L45" t="s">
        <v>219</v>
      </c>
      <c r="N45" t="s">
        <v>222</v>
      </c>
      <c r="O45" t="s">
        <v>225</v>
      </c>
      <c r="P45" t="s">
        <v>150</v>
      </c>
      <c r="Q45" t="s">
        <v>230</v>
      </c>
      <c r="R45" t="s">
        <v>240</v>
      </c>
      <c r="S45" t="s">
        <v>243</v>
      </c>
      <c r="T45" t="s">
        <v>247</v>
      </c>
      <c r="U45" t="s">
        <v>247</v>
      </c>
      <c r="V45" t="s">
        <v>247</v>
      </c>
      <c r="W45" t="s">
        <v>247</v>
      </c>
      <c r="X45" t="s">
        <v>247</v>
      </c>
    </row>
    <row r="46" spans="1:24" x14ac:dyDescent="0.25">
      <c r="A46">
        <v>77000013</v>
      </c>
      <c r="B46" t="s">
        <v>85</v>
      </c>
      <c r="C46" t="s">
        <v>119</v>
      </c>
      <c r="D46" t="s">
        <v>131</v>
      </c>
      <c r="E46">
        <v>1</v>
      </c>
      <c r="F46" t="s">
        <v>156</v>
      </c>
      <c r="G46" t="s">
        <v>170</v>
      </c>
      <c r="H46" t="s">
        <v>157</v>
      </c>
      <c r="I46" t="s">
        <v>193</v>
      </c>
      <c r="J46" t="s">
        <v>181</v>
      </c>
      <c r="K46" t="s">
        <v>208</v>
      </c>
      <c r="L46" t="s">
        <v>219</v>
      </c>
      <c r="N46" t="s">
        <v>222</v>
      </c>
      <c r="O46" t="s">
        <v>225</v>
      </c>
      <c r="P46" t="s">
        <v>150</v>
      </c>
      <c r="Q46" t="s">
        <v>230</v>
      </c>
      <c r="R46" t="s">
        <v>240</v>
      </c>
      <c r="S46" t="s">
        <v>243</v>
      </c>
      <c r="T46" t="s">
        <v>247</v>
      </c>
      <c r="U46" t="s">
        <v>247</v>
      </c>
      <c r="V46" t="s">
        <v>247</v>
      </c>
      <c r="W46" t="s">
        <v>247</v>
      </c>
      <c r="X46" t="s">
        <v>247</v>
      </c>
    </row>
    <row r="47" spans="1:24" x14ac:dyDescent="0.25">
      <c r="A47">
        <v>77001886</v>
      </c>
      <c r="B47" t="s">
        <v>86</v>
      </c>
      <c r="C47" t="s">
        <v>120</v>
      </c>
      <c r="D47" t="s">
        <v>131</v>
      </c>
      <c r="E47">
        <v>1</v>
      </c>
      <c r="F47" t="s">
        <v>157</v>
      </c>
      <c r="G47" t="s">
        <v>171</v>
      </c>
      <c r="H47" t="s">
        <v>181</v>
      </c>
      <c r="I47" t="s">
        <v>194</v>
      </c>
      <c r="J47" t="s">
        <v>156</v>
      </c>
      <c r="K47" t="s">
        <v>209</v>
      </c>
      <c r="L47" t="s">
        <v>218</v>
      </c>
      <c r="N47" t="s">
        <v>222</v>
      </c>
      <c r="O47" t="s">
        <v>225</v>
      </c>
      <c r="P47" t="s">
        <v>150</v>
      </c>
      <c r="Q47" t="s">
        <v>231</v>
      </c>
      <c r="R47" t="s">
        <v>240</v>
      </c>
      <c r="S47" t="s">
        <v>244</v>
      </c>
      <c r="T47" t="s">
        <v>247</v>
      </c>
      <c r="U47" t="s">
        <v>247</v>
      </c>
      <c r="V47" t="s">
        <v>247</v>
      </c>
      <c r="W47" t="s">
        <v>247</v>
      </c>
      <c r="X47" t="s">
        <v>247</v>
      </c>
    </row>
    <row r="48" spans="1:24" x14ac:dyDescent="0.25">
      <c r="A48">
        <v>77001886</v>
      </c>
      <c r="B48" t="s">
        <v>87</v>
      </c>
      <c r="C48" t="s">
        <v>120</v>
      </c>
      <c r="D48" t="s">
        <v>131</v>
      </c>
      <c r="E48">
        <v>1</v>
      </c>
      <c r="F48" t="s">
        <v>157</v>
      </c>
      <c r="G48" t="s">
        <v>171</v>
      </c>
      <c r="H48" t="s">
        <v>181</v>
      </c>
      <c r="I48" t="s">
        <v>194</v>
      </c>
      <c r="J48" t="s">
        <v>156</v>
      </c>
      <c r="K48" t="s">
        <v>209</v>
      </c>
      <c r="L48" t="s">
        <v>218</v>
      </c>
      <c r="N48" t="s">
        <v>222</v>
      </c>
      <c r="O48" t="s">
        <v>225</v>
      </c>
      <c r="P48" t="s">
        <v>150</v>
      </c>
      <c r="Q48" t="s">
        <v>231</v>
      </c>
      <c r="R48" t="s">
        <v>240</v>
      </c>
      <c r="S48" t="s">
        <v>244</v>
      </c>
      <c r="T48" t="s">
        <v>247</v>
      </c>
      <c r="U48" t="s">
        <v>247</v>
      </c>
      <c r="V48" t="s">
        <v>247</v>
      </c>
      <c r="W48" t="s">
        <v>247</v>
      </c>
      <c r="X48" t="s">
        <v>247</v>
      </c>
    </row>
    <row r="49" spans="1:24" x14ac:dyDescent="0.25">
      <c r="A49">
        <v>77001886</v>
      </c>
      <c r="B49" t="s">
        <v>88</v>
      </c>
      <c r="C49" t="s">
        <v>120</v>
      </c>
      <c r="D49" t="s">
        <v>131</v>
      </c>
      <c r="E49">
        <v>1</v>
      </c>
      <c r="F49" t="s">
        <v>157</v>
      </c>
      <c r="G49" t="s">
        <v>171</v>
      </c>
      <c r="H49" t="s">
        <v>181</v>
      </c>
      <c r="I49" t="s">
        <v>194</v>
      </c>
      <c r="J49" t="s">
        <v>156</v>
      </c>
      <c r="K49" t="s">
        <v>209</v>
      </c>
      <c r="L49" t="s">
        <v>218</v>
      </c>
      <c r="N49" t="s">
        <v>222</v>
      </c>
      <c r="O49" t="s">
        <v>225</v>
      </c>
      <c r="P49" t="s">
        <v>150</v>
      </c>
      <c r="Q49" t="s">
        <v>231</v>
      </c>
      <c r="R49" t="s">
        <v>240</v>
      </c>
      <c r="S49" t="s">
        <v>244</v>
      </c>
      <c r="T49" t="s">
        <v>247</v>
      </c>
      <c r="U49" t="s">
        <v>247</v>
      </c>
      <c r="V49" t="s">
        <v>247</v>
      </c>
      <c r="W49" t="s">
        <v>247</v>
      </c>
      <c r="X49" t="s">
        <v>247</v>
      </c>
    </row>
    <row r="50" spans="1:24" x14ac:dyDescent="0.25">
      <c r="A50">
        <v>77001574</v>
      </c>
      <c r="B50" t="s">
        <v>89</v>
      </c>
      <c r="C50" t="s">
        <v>121</v>
      </c>
      <c r="D50" t="s">
        <v>142</v>
      </c>
      <c r="E50">
        <v>1</v>
      </c>
      <c r="F50" t="s">
        <v>156</v>
      </c>
      <c r="G50" t="s">
        <v>172</v>
      </c>
      <c r="H50" t="s">
        <v>157</v>
      </c>
      <c r="I50" t="s">
        <v>195</v>
      </c>
      <c r="J50" t="s">
        <v>181</v>
      </c>
      <c r="K50" t="s">
        <v>210</v>
      </c>
      <c r="L50" t="s">
        <v>219</v>
      </c>
      <c r="N50" t="s">
        <v>222</v>
      </c>
      <c r="O50" t="s">
        <v>225</v>
      </c>
      <c r="P50" t="s">
        <v>227</v>
      </c>
      <c r="Q50" t="s">
        <v>232</v>
      </c>
      <c r="T50" t="s">
        <v>247</v>
      </c>
      <c r="U50" t="s">
        <v>247</v>
      </c>
      <c r="V50" t="s">
        <v>247</v>
      </c>
      <c r="W50" t="s">
        <v>250</v>
      </c>
    </row>
    <row r="51" spans="1:24" x14ac:dyDescent="0.25">
      <c r="A51">
        <v>77001574</v>
      </c>
      <c r="B51" t="s">
        <v>90</v>
      </c>
      <c r="C51" t="s">
        <v>121</v>
      </c>
      <c r="D51" t="s">
        <v>142</v>
      </c>
      <c r="E51">
        <v>1</v>
      </c>
      <c r="F51" t="s">
        <v>156</v>
      </c>
      <c r="G51" t="s">
        <v>172</v>
      </c>
      <c r="H51" t="s">
        <v>157</v>
      </c>
      <c r="I51" t="s">
        <v>195</v>
      </c>
      <c r="J51" t="s">
        <v>181</v>
      </c>
      <c r="K51" t="s">
        <v>210</v>
      </c>
      <c r="L51" t="s">
        <v>219</v>
      </c>
      <c r="N51" t="s">
        <v>222</v>
      </c>
      <c r="O51" t="s">
        <v>225</v>
      </c>
      <c r="P51" t="s">
        <v>227</v>
      </c>
      <c r="Q51" t="s">
        <v>232</v>
      </c>
      <c r="T51" t="s">
        <v>247</v>
      </c>
      <c r="U51" t="s">
        <v>247</v>
      </c>
      <c r="V51" t="s">
        <v>247</v>
      </c>
      <c r="W51" t="s">
        <v>250</v>
      </c>
    </row>
    <row r="52" spans="1:24" x14ac:dyDescent="0.25">
      <c r="A52">
        <v>77001580</v>
      </c>
      <c r="B52" t="s">
        <v>91</v>
      </c>
      <c r="C52" t="s">
        <v>122</v>
      </c>
      <c r="D52" t="s">
        <v>143</v>
      </c>
      <c r="E52">
        <v>1</v>
      </c>
      <c r="F52" t="s">
        <v>156</v>
      </c>
      <c r="G52" t="s">
        <v>173</v>
      </c>
      <c r="H52" t="s">
        <v>157</v>
      </c>
      <c r="I52" t="s">
        <v>196</v>
      </c>
      <c r="J52" t="s">
        <v>181</v>
      </c>
      <c r="K52" t="s">
        <v>211</v>
      </c>
      <c r="L52" t="s">
        <v>218</v>
      </c>
      <c r="N52" t="s">
        <v>222</v>
      </c>
      <c r="O52" t="s">
        <v>225</v>
      </c>
      <c r="P52" t="s">
        <v>227</v>
      </c>
      <c r="Q52" t="s">
        <v>233</v>
      </c>
      <c r="T52" t="s">
        <v>247</v>
      </c>
      <c r="U52" t="s">
        <v>247</v>
      </c>
      <c r="V52" t="s">
        <v>247</v>
      </c>
      <c r="W52" t="s">
        <v>250</v>
      </c>
    </row>
    <row r="53" spans="1:24" x14ac:dyDescent="0.25">
      <c r="A53">
        <v>77001580</v>
      </c>
      <c r="B53" t="s">
        <v>92</v>
      </c>
      <c r="C53" t="s">
        <v>122</v>
      </c>
      <c r="D53" t="s">
        <v>143</v>
      </c>
      <c r="E53">
        <v>1</v>
      </c>
      <c r="F53" t="s">
        <v>156</v>
      </c>
      <c r="G53" t="s">
        <v>173</v>
      </c>
      <c r="H53" t="s">
        <v>157</v>
      </c>
      <c r="I53" t="s">
        <v>196</v>
      </c>
      <c r="J53" t="s">
        <v>181</v>
      </c>
      <c r="K53" t="s">
        <v>211</v>
      </c>
      <c r="L53" t="s">
        <v>218</v>
      </c>
      <c r="N53" t="s">
        <v>222</v>
      </c>
      <c r="O53" t="s">
        <v>225</v>
      </c>
      <c r="P53" t="s">
        <v>227</v>
      </c>
      <c r="Q53" t="s">
        <v>233</v>
      </c>
      <c r="T53" t="s">
        <v>247</v>
      </c>
      <c r="U53" t="s">
        <v>247</v>
      </c>
      <c r="V53" t="s">
        <v>247</v>
      </c>
      <c r="W53" t="s">
        <v>250</v>
      </c>
    </row>
    <row r="54" spans="1:24" x14ac:dyDescent="0.25">
      <c r="A54">
        <v>77001672</v>
      </c>
      <c r="B54" t="s">
        <v>93</v>
      </c>
      <c r="C54" t="s">
        <v>123</v>
      </c>
      <c r="D54" t="s">
        <v>144</v>
      </c>
      <c r="E54">
        <v>1</v>
      </c>
      <c r="F54" t="s">
        <v>156</v>
      </c>
      <c r="G54" t="s">
        <v>174</v>
      </c>
      <c r="H54" t="s">
        <v>157</v>
      </c>
      <c r="I54" t="s">
        <v>197</v>
      </c>
      <c r="J54" t="s">
        <v>181</v>
      </c>
      <c r="K54" t="s">
        <v>212</v>
      </c>
      <c r="L54" t="s">
        <v>219</v>
      </c>
      <c r="N54" t="s">
        <v>222</v>
      </c>
      <c r="O54" t="s">
        <v>225</v>
      </c>
      <c r="P54" t="s">
        <v>227</v>
      </c>
      <c r="Q54" t="s">
        <v>234</v>
      </c>
      <c r="T54" t="s">
        <v>247</v>
      </c>
      <c r="U54" t="s">
        <v>247</v>
      </c>
      <c r="V54" t="s">
        <v>247</v>
      </c>
      <c r="W54" t="s">
        <v>250</v>
      </c>
    </row>
    <row r="55" spans="1:24" x14ac:dyDescent="0.25">
      <c r="A55">
        <v>77001672</v>
      </c>
      <c r="B55" t="s">
        <v>94</v>
      </c>
      <c r="C55" t="s">
        <v>123</v>
      </c>
      <c r="D55" t="s">
        <v>144</v>
      </c>
      <c r="E55">
        <v>1</v>
      </c>
      <c r="F55" t="s">
        <v>156</v>
      </c>
      <c r="G55" t="s">
        <v>174</v>
      </c>
      <c r="H55" t="s">
        <v>157</v>
      </c>
      <c r="I55" t="s">
        <v>197</v>
      </c>
      <c r="J55" t="s">
        <v>181</v>
      </c>
      <c r="K55" t="s">
        <v>212</v>
      </c>
      <c r="L55" t="s">
        <v>218</v>
      </c>
      <c r="N55" t="s">
        <v>222</v>
      </c>
      <c r="O55" t="s">
        <v>225</v>
      </c>
      <c r="P55" t="s">
        <v>227</v>
      </c>
      <c r="Q55" t="s">
        <v>234</v>
      </c>
      <c r="T55" t="s">
        <v>247</v>
      </c>
      <c r="U55" t="s">
        <v>247</v>
      </c>
      <c r="V55" t="s">
        <v>247</v>
      </c>
      <c r="W55" t="s">
        <v>250</v>
      </c>
    </row>
    <row r="56" spans="1:24" x14ac:dyDescent="0.25">
      <c r="A56">
        <v>77001538</v>
      </c>
      <c r="B56" t="s">
        <v>95</v>
      </c>
      <c r="C56" t="s">
        <v>124</v>
      </c>
      <c r="D56" t="s">
        <v>135</v>
      </c>
      <c r="E56">
        <v>1</v>
      </c>
      <c r="F56" t="s">
        <v>148</v>
      </c>
      <c r="G56" t="s">
        <v>175</v>
      </c>
      <c r="H56" t="s">
        <v>149</v>
      </c>
      <c r="I56" t="s">
        <v>198</v>
      </c>
      <c r="J56" t="s">
        <v>180</v>
      </c>
      <c r="K56" t="s">
        <v>213</v>
      </c>
      <c r="L56" t="s">
        <v>219</v>
      </c>
      <c r="N56" t="s">
        <v>222</v>
      </c>
      <c r="O56" t="s">
        <v>225</v>
      </c>
      <c r="P56" t="s">
        <v>158</v>
      </c>
      <c r="Q56" t="s">
        <v>235</v>
      </c>
      <c r="T56" t="s">
        <v>247</v>
      </c>
      <c r="U56" t="s">
        <v>247</v>
      </c>
      <c r="V56" t="s">
        <v>247</v>
      </c>
      <c r="W56" t="s">
        <v>247</v>
      </c>
    </row>
    <row r="57" spans="1:24" x14ac:dyDescent="0.25">
      <c r="A57">
        <v>77001538</v>
      </c>
      <c r="B57" t="s">
        <v>96</v>
      </c>
      <c r="C57" t="s">
        <v>124</v>
      </c>
      <c r="D57" t="s">
        <v>135</v>
      </c>
      <c r="E57">
        <v>1</v>
      </c>
      <c r="F57" t="s">
        <v>148</v>
      </c>
      <c r="G57" t="s">
        <v>175</v>
      </c>
      <c r="H57" t="s">
        <v>149</v>
      </c>
      <c r="I57" t="s">
        <v>198</v>
      </c>
      <c r="J57" t="s">
        <v>180</v>
      </c>
      <c r="K57" t="s">
        <v>213</v>
      </c>
      <c r="L57" t="s">
        <v>218</v>
      </c>
      <c r="N57" t="s">
        <v>222</v>
      </c>
      <c r="O57" t="s">
        <v>225</v>
      </c>
      <c r="P57" t="s">
        <v>158</v>
      </c>
      <c r="Q57" t="s">
        <v>235</v>
      </c>
      <c r="T57" t="s">
        <v>247</v>
      </c>
      <c r="U57" t="s">
        <v>247</v>
      </c>
      <c r="V57" t="s">
        <v>247</v>
      </c>
      <c r="W57" t="s">
        <v>247</v>
      </c>
    </row>
    <row r="58" spans="1:24" x14ac:dyDescent="0.25">
      <c r="A58">
        <v>77001182</v>
      </c>
      <c r="B58" t="s">
        <v>97</v>
      </c>
      <c r="C58" t="s">
        <v>125</v>
      </c>
      <c r="D58" t="s">
        <v>135</v>
      </c>
      <c r="E58">
        <v>1</v>
      </c>
      <c r="F58" t="s">
        <v>151</v>
      </c>
      <c r="G58" t="s">
        <v>176</v>
      </c>
      <c r="H58" t="s">
        <v>148</v>
      </c>
      <c r="I58" t="s">
        <v>199</v>
      </c>
      <c r="J58" t="s">
        <v>180</v>
      </c>
      <c r="K58" t="s">
        <v>214</v>
      </c>
      <c r="L58" t="s">
        <v>219</v>
      </c>
      <c r="N58" t="s">
        <v>222</v>
      </c>
      <c r="O58" t="s">
        <v>225</v>
      </c>
      <c r="P58" t="s">
        <v>149</v>
      </c>
      <c r="Q58" t="s">
        <v>236</v>
      </c>
      <c r="T58" t="s">
        <v>247</v>
      </c>
      <c r="U58" t="s">
        <v>247</v>
      </c>
      <c r="V58" t="s">
        <v>247</v>
      </c>
      <c r="W58" t="s">
        <v>247</v>
      </c>
    </row>
    <row r="59" spans="1:24" x14ac:dyDescent="0.25">
      <c r="A59">
        <v>77001182</v>
      </c>
      <c r="B59" t="s">
        <v>98</v>
      </c>
      <c r="C59" t="s">
        <v>125</v>
      </c>
      <c r="D59" t="s">
        <v>135</v>
      </c>
      <c r="E59">
        <v>1</v>
      </c>
      <c r="F59" t="s">
        <v>151</v>
      </c>
      <c r="G59" t="s">
        <v>176</v>
      </c>
      <c r="H59" t="s">
        <v>148</v>
      </c>
      <c r="I59" t="s">
        <v>199</v>
      </c>
      <c r="J59" t="s">
        <v>180</v>
      </c>
      <c r="K59" t="s">
        <v>214</v>
      </c>
      <c r="L59" t="s">
        <v>219</v>
      </c>
      <c r="N59" t="s">
        <v>222</v>
      </c>
      <c r="O59" t="s">
        <v>225</v>
      </c>
      <c r="P59" t="s">
        <v>149</v>
      </c>
      <c r="Q59" t="s">
        <v>236</v>
      </c>
      <c r="T59" t="s">
        <v>247</v>
      </c>
      <c r="U59" t="s">
        <v>247</v>
      </c>
      <c r="V59" t="s">
        <v>247</v>
      </c>
      <c r="W59" t="s">
        <v>247</v>
      </c>
    </row>
    <row r="60" spans="1:24" x14ac:dyDescent="0.25">
      <c r="A60">
        <v>77003338</v>
      </c>
      <c r="B60" t="s">
        <v>99</v>
      </c>
      <c r="C60" t="s">
        <v>126</v>
      </c>
      <c r="D60" t="s">
        <v>145</v>
      </c>
      <c r="E60">
        <v>1</v>
      </c>
      <c r="F60" t="s">
        <v>156</v>
      </c>
      <c r="G60" t="s">
        <v>177</v>
      </c>
      <c r="H60" t="s">
        <v>150</v>
      </c>
      <c r="I60" t="s">
        <v>200</v>
      </c>
      <c r="J60" t="s">
        <v>157</v>
      </c>
      <c r="K60" t="s">
        <v>215</v>
      </c>
      <c r="L60" t="s">
        <v>219</v>
      </c>
      <c r="N60" t="s">
        <v>222</v>
      </c>
      <c r="O60" t="s">
        <v>225</v>
      </c>
      <c r="P60" t="s">
        <v>181</v>
      </c>
      <c r="Q60" t="s">
        <v>237</v>
      </c>
      <c r="T60" t="s">
        <v>247</v>
      </c>
      <c r="U60" t="s">
        <v>247</v>
      </c>
      <c r="V60" t="s">
        <v>247</v>
      </c>
      <c r="W60" t="s">
        <v>247</v>
      </c>
    </row>
    <row r="61" spans="1:24" x14ac:dyDescent="0.25">
      <c r="A61">
        <v>77003338</v>
      </c>
      <c r="B61" t="s">
        <v>100</v>
      </c>
      <c r="C61" t="s">
        <v>126</v>
      </c>
      <c r="D61" t="s">
        <v>145</v>
      </c>
      <c r="E61">
        <v>1</v>
      </c>
      <c r="F61" t="s">
        <v>156</v>
      </c>
      <c r="G61" t="s">
        <v>177</v>
      </c>
      <c r="H61" t="s">
        <v>150</v>
      </c>
      <c r="I61" t="s">
        <v>200</v>
      </c>
      <c r="J61" t="s">
        <v>157</v>
      </c>
      <c r="K61" t="s">
        <v>215</v>
      </c>
      <c r="L61" t="s">
        <v>219</v>
      </c>
      <c r="N61" t="s">
        <v>222</v>
      </c>
      <c r="O61" t="s">
        <v>225</v>
      </c>
      <c r="P61" t="s">
        <v>181</v>
      </c>
      <c r="Q61" t="s">
        <v>237</v>
      </c>
      <c r="T61" t="s">
        <v>247</v>
      </c>
      <c r="U61" t="s">
        <v>247</v>
      </c>
      <c r="V61" t="s">
        <v>247</v>
      </c>
      <c r="W61" t="s">
        <v>247</v>
      </c>
    </row>
    <row r="62" spans="1:24" x14ac:dyDescent="0.25">
      <c r="A62">
        <v>77004429</v>
      </c>
      <c r="B62" t="s">
        <v>101</v>
      </c>
      <c r="C62" t="s">
        <v>127</v>
      </c>
      <c r="D62" t="s">
        <v>129</v>
      </c>
      <c r="E62">
        <v>1</v>
      </c>
      <c r="F62" t="s">
        <v>158</v>
      </c>
      <c r="G62" t="s">
        <v>178</v>
      </c>
      <c r="H62" t="s">
        <v>180</v>
      </c>
      <c r="I62" t="s">
        <v>201</v>
      </c>
      <c r="J62" t="s">
        <v>148</v>
      </c>
      <c r="K62" t="s">
        <v>216</v>
      </c>
      <c r="L62" t="s">
        <v>219</v>
      </c>
      <c r="N62" t="s">
        <v>222</v>
      </c>
      <c r="O62" t="s">
        <v>225</v>
      </c>
      <c r="P62" t="s">
        <v>181</v>
      </c>
      <c r="Q62" t="s">
        <v>238</v>
      </c>
      <c r="R62" t="s">
        <v>241</v>
      </c>
      <c r="S62" t="s">
        <v>245</v>
      </c>
      <c r="T62" t="s">
        <v>247</v>
      </c>
      <c r="U62" t="s">
        <v>247</v>
      </c>
      <c r="V62" t="s">
        <v>247</v>
      </c>
      <c r="W62" t="s">
        <v>247</v>
      </c>
      <c r="X62" t="s">
        <v>247</v>
      </c>
    </row>
    <row r="63" spans="1:24" x14ac:dyDescent="0.25">
      <c r="A63">
        <v>77004429</v>
      </c>
      <c r="B63" t="s">
        <v>102</v>
      </c>
      <c r="C63" t="s">
        <v>127</v>
      </c>
      <c r="D63" t="s">
        <v>129</v>
      </c>
      <c r="E63">
        <v>1</v>
      </c>
      <c r="F63" t="s">
        <v>158</v>
      </c>
      <c r="G63" t="s">
        <v>178</v>
      </c>
      <c r="H63" t="s">
        <v>180</v>
      </c>
      <c r="I63" t="s">
        <v>201</v>
      </c>
      <c r="J63" t="s">
        <v>148</v>
      </c>
      <c r="K63" t="s">
        <v>216</v>
      </c>
      <c r="L63" t="s">
        <v>218</v>
      </c>
      <c r="N63" t="s">
        <v>222</v>
      </c>
      <c r="O63" t="s">
        <v>225</v>
      </c>
      <c r="P63" t="s">
        <v>181</v>
      </c>
      <c r="Q63" t="s">
        <v>238</v>
      </c>
      <c r="R63" t="s">
        <v>241</v>
      </c>
      <c r="S63" t="s">
        <v>245</v>
      </c>
      <c r="T63" t="s">
        <v>247</v>
      </c>
      <c r="U63" t="s">
        <v>247</v>
      </c>
      <c r="V63" t="s">
        <v>247</v>
      </c>
      <c r="W63" t="s">
        <v>247</v>
      </c>
      <c r="X63" t="s">
        <v>247</v>
      </c>
    </row>
    <row r="64" spans="1:24" x14ac:dyDescent="0.25">
      <c r="A64">
        <v>77004429</v>
      </c>
      <c r="B64" t="s">
        <v>103</v>
      </c>
      <c r="C64" t="s">
        <v>127</v>
      </c>
      <c r="D64" t="s">
        <v>129</v>
      </c>
      <c r="E64">
        <v>1</v>
      </c>
      <c r="F64" t="s">
        <v>158</v>
      </c>
      <c r="G64" t="s">
        <v>178</v>
      </c>
      <c r="H64" t="s">
        <v>180</v>
      </c>
      <c r="I64" t="s">
        <v>201</v>
      </c>
      <c r="J64" t="s">
        <v>148</v>
      </c>
      <c r="K64" t="s">
        <v>216</v>
      </c>
      <c r="L64" t="s">
        <v>218</v>
      </c>
      <c r="N64" t="s">
        <v>222</v>
      </c>
      <c r="O64" t="s">
        <v>225</v>
      </c>
      <c r="P64" t="s">
        <v>181</v>
      </c>
      <c r="Q64" t="s">
        <v>238</v>
      </c>
      <c r="R64" t="s">
        <v>241</v>
      </c>
      <c r="S64" t="s">
        <v>245</v>
      </c>
      <c r="T64" t="s">
        <v>247</v>
      </c>
      <c r="U64" t="s">
        <v>247</v>
      </c>
      <c r="V64" t="s">
        <v>247</v>
      </c>
      <c r="W64" t="s">
        <v>247</v>
      </c>
      <c r="X64" t="s">
        <v>247</v>
      </c>
    </row>
  </sheetData>
  <phoneticPr fontId="7" type="noConversion"/>
  <conditionalFormatting sqref="F2:F1048576">
    <cfRule type="expression" dxfId="48" priority="20">
      <formula>OR(IF(T2="OBS",TRUE,FALSE),IF(T2="NFSP",TRUE,FALSE),IF(T2="LTB",TRUE,FALSE))</formula>
    </cfRule>
  </conditionalFormatting>
  <conditionalFormatting sqref="G2:H1048576">
    <cfRule type="expression" dxfId="47" priority="19">
      <formula>OR(IF(T2="OBS",TRUE,FALSE),IF(T2="NFSP",TRUE,FALSE),IF(T2="LTB",TRUE,FALSE))</formula>
    </cfRule>
  </conditionalFormatting>
  <conditionalFormatting sqref="I2:J1048576">
    <cfRule type="expression" dxfId="46" priority="17">
      <formula>OR(IF(U2="OBS",TRUE,FALSE),IF(U2="NFSP",TRUE,FALSE),IF(U2="LTB",TRUE,FALSE))</formula>
    </cfRule>
  </conditionalFormatting>
  <conditionalFormatting sqref="K2:K1048576">
    <cfRule type="expression" dxfId="45" priority="15">
      <formula>OR(IF(V2="OBS",TRUE,FALSE),IF(V2="NFSP",TRUE,FALSE),IF(V2="LTB",TRUE,FALSE))</formula>
    </cfRule>
  </conditionalFormatting>
  <conditionalFormatting sqref="P2:P1048576">
    <cfRule type="expression" dxfId="44" priority="14">
      <formula>OR(IF(W2="OBS",TRUE,FALSE),IF(W2="NFSP",TRUE,FALSE),IF(W2="LTB",TRUE,FALSE))</formula>
    </cfRule>
  </conditionalFormatting>
  <conditionalFormatting sqref="Q2:R1048576">
    <cfRule type="expression" dxfId="43" priority="13">
      <formula>OR(IF(W2="OBS",TRUE,FALSE),IF(W2="NFSP",TRUE,FALSE),IF(W2="LTB",TRUE,FALSE))</formula>
    </cfRule>
  </conditionalFormatting>
  <conditionalFormatting sqref="S2:S1048576">
    <cfRule type="expression" dxfId="42" priority="11">
      <formula>OR(IF(X2="OBS",TRUE,FALSE),IF(X2="NFSP",TRUE,FALSE),IF(X2="LTB",TRUE,FALSE))</formula>
    </cfRule>
  </conditionalFormatting>
  <conditionalFormatting sqref="F2:F1048576">
    <cfRule type="expression" dxfId="41" priority="10">
      <formula>OR(IF(T2="CAND",TRUE,FALSE),IF(T2="DEV",TRUE,FALSE),IF(T2="NFND",TRUE,FALSE))</formula>
    </cfRule>
  </conditionalFormatting>
  <conditionalFormatting sqref="G2:H1048576">
    <cfRule type="expression" dxfId="40" priority="9">
      <formula>OR(IF(T2="CAND",TRUE,FALSE),IF(T2="DEV",TRUE,FALSE),IF(T2="NFND",TRUE,FALSE))</formula>
    </cfRule>
  </conditionalFormatting>
  <conditionalFormatting sqref="I2:J1048576">
    <cfRule type="expression" dxfId="39" priority="7">
      <formula>OR(IF(U2="CAND",TRUE,FALSE),IF(U2="DEV",TRUE,FALSE),IF(U2="NFND",TRUE,FALSE))</formula>
    </cfRule>
  </conditionalFormatting>
  <conditionalFormatting sqref="K2:K1048576">
    <cfRule type="expression" dxfId="38" priority="5">
      <formula>OR(IF(V2="CAND",TRUE,FALSE),IF(V2="DEV",TRUE,FALSE),IF(V2="NFND",TRUE,FALSE))</formula>
    </cfRule>
  </conditionalFormatting>
  <conditionalFormatting sqref="P2:P1048576">
    <cfRule type="expression" dxfId="37" priority="4">
      <formula>OR(IF(W2="CAND",TRUE,FALSE),IF(W2="DEV",TRUE,FALSE),IF(W2="NFND",TRUE,FALSE))</formula>
    </cfRule>
  </conditionalFormatting>
  <conditionalFormatting sqref="Q2:R1048576">
    <cfRule type="expression" dxfId="36" priority="3">
      <formula>OR(IF(W2="CAND",TRUE,FALSE),IF(W2="DEV",TRUE,FALSE),IF(W2="NFND",TRUE,FALSE))</formula>
    </cfRule>
  </conditionalFormatting>
  <conditionalFormatting sqref="S2:S1048576">
    <cfRule type="expression" dxfId="35" priority="1">
      <formula>OR(IF(X2="CAND",TRUE,FALSE),IF(X2="DEV",TRUE,FALSE),IF(X2="NFND",TRUE,FALSE))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4"/>
  <sheetViews>
    <sheetView workbookViewId="0">
      <selection activeCell="H20" sqref="H20"/>
    </sheetView>
  </sheetViews>
  <sheetFormatPr defaultRowHeight="14.4" x14ac:dyDescent="0.25"/>
  <cols>
    <col min="1" max="1" width="9.33203125" style="10" bestFit="1" customWidth="1"/>
    <col min="2" max="2" width="9.88671875" bestFit="1" customWidth="1"/>
    <col min="3" max="3" width="16" bestFit="1" customWidth="1"/>
    <col min="4" max="4" width="42.33203125" bestFit="1" customWidth="1"/>
    <col min="5" max="5" width="13.88671875" customWidth="1"/>
    <col min="6" max="6" width="19.109375" bestFit="1" customWidth="1"/>
    <col min="7" max="7" width="9.44140625" bestFit="1" customWidth="1"/>
    <col min="8" max="8" width="118" bestFit="1" customWidth="1"/>
    <col min="9" max="9" width="9.44140625" bestFit="1" customWidth="1"/>
    <col min="10" max="10" width="14.33203125" bestFit="1" customWidth="1"/>
    <col min="12" max="12" width="42.44140625" bestFit="1" customWidth="1"/>
  </cols>
  <sheetData>
    <row r="1" spans="1:14" ht="15" thickBot="1" x14ac:dyDescent="0.3">
      <c r="A1" s="53" t="s">
        <v>17</v>
      </c>
      <c r="B1" s="53"/>
      <c r="C1" s="53"/>
      <c r="D1" s="9" t="s">
        <v>18</v>
      </c>
      <c r="E1" s="8"/>
      <c r="F1" s="4"/>
      <c r="G1" s="4"/>
      <c r="H1" s="4" t="s">
        <v>19</v>
      </c>
      <c r="I1" s="4"/>
      <c r="J1" s="4" t="s">
        <v>20</v>
      </c>
      <c r="L1" s="12"/>
    </row>
    <row r="2" spans="1:14" ht="16.2" thickBot="1" x14ac:dyDescent="0.3">
      <c r="A2" s="54" t="s">
        <v>254</v>
      </c>
      <c r="B2" s="55"/>
      <c r="C2" s="56"/>
      <c r="D2" s="20" t="s">
        <v>255</v>
      </c>
      <c r="E2" s="13"/>
      <c r="F2" s="7"/>
      <c r="G2" s="6"/>
      <c r="H2" s="15">
        <v>100</v>
      </c>
      <c r="I2" s="14"/>
      <c r="J2" s="21" t="s">
        <v>256</v>
      </c>
      <c r="L2" t="s">
        <v>14</v>
      </c>
    </row>
    <row r="3" spans="1:14" ht="15" thickBot="1" x14ac:dyDescent="0.3">
      <c r="A3" s="4"/>
      <c r="B3" s="4"/>
      <c r="C3" s="3"/>
      <c r="D3" s="57" t="s">
        <v>21</v>
      </c>
      <c r="E3" s="57"/>
      <c r="F3" s="57" t="s">
        <v>22</v>
      </c>
      <c r="G3" s="57"/>
      <c r="L3">
        <f>SUM(BOM!E:E) - 1</f>
        <v>62</v>
      </c>
    </row>
    <row r="4" spans="1:14" ht="15" thickBot="1" x14ac:dyDescent="0.3">
      <c r="A4" s="4"/>
      <c r="B4" s="4"/>
      <c r="C4" s="3"/>
      <c r="D4" s="60" t="s">
        <v>257</v>
      </c>
      <c r="E4" s="61"/>
      <c r="F4" s="58" t="s">
        <v>258</v>
      </c>
      <c r="G4" s="59"/>
      <c r="L4" t="s">
        <v>15</v>
      </c>
    </row>
    <row r="5" spans="1:14" ht="58.5" customHeight="1" x14ac:dyDescent="0.4">
      <c r="A5" s="4"/>
      <c r="B5" s="4"/>
      <c r="C5" s="3"/>
      <c r="D5" s="11" t="str">
        <f>IF($L$3&lt;&gt;$L$5,"Following SAP BOM do not match with BOM! Count mismatch!","")</f>
        <v/>
      </c>
      <c r="E5" s="2"/>
      <c r="F5" s="3"/>
      <c r="G5" s="3"/>
      <c r="H5" s="2"/>
      <c r="I5" s="2"/>
      <c r="J5" s="2"/>
      <c r="L5">
        <f>SUM(E:E)-SUM(E7:E8)</f>
        <v>62</v>
      </c>
    </row>
    <row r="6" spans="1:14" s="8" customFormat="1" ht="28.8" x14ac:dyDescent="0.25">
      <c r="A6" s="41" t="s">
        <v>0</v>
      </c>
      <c r="B6" s="41" t="s">
        <v>29</v>
      </c>
      <c r="C6" s="41" t="s">
        <v>30</v>
      </c>
      <c r="D6" s="41" t="s">
        <v>18</v>
      </c>
      <c r="E6" s="42" t="s">
        <v>31</v>
      </c>
      <c r="F6" s="43" t="s">
        <v>32</v>
      </c>
      <c r="G6" s="41" t="s">
        <v>33</v>
      </c>
      <c r="H6" s="41" t="s">
        <v>34</v>
      </c>
      <c r="I6" s="41" t="s">
        <v>36</v>
      </c>
      <c r="J6" s="44" t="s">
        <v>35</v>
      </c>
      <c r="N6" s="2"/>
    </row>
    <row r="7" spans="1:14" x14ac:dyDescent="0.25">
      <c r="A7" s="50">
        <v>10</v>
      </c>
      <c r="B7" s="51" t="s">
        <v>16</v>
      </c>
      <c r="C7" s="51">
        <v>77003526</v>
      </c>
      <c r="D7" s="51" t="s">
        <v>110</v>
      </c>
      <c r="E7" s="51" t="s">
        <v>259</v>
      </c>
      <c r="F7" s="51">
        <f>H2*'SAP BOM'!$E7</f>
        <v>13</v>
      </c>
      <c r="G7" s="51" t="s">
        <v>38</v>
      </c>
      <c r="H7" s="51"/>
      <c r="I7" s="51"/>
      <c r="J7" s="52"/>
    </row>
    <row r="8" spans="1:14" x14ac:dyDescent="0.25">
      <c r="A8" s="50">
        <f>A7+10</f>
        <v>20</v>
      </c>
      <c r="B8" s="51" t="s">
        <v>16</v>
      </c>
      <c r="C8" s="51">
        <v>77000670</v>
      </c>
      <c r="D8" s="51" t="s">
        <v>12</v>
      </c>
      <c r="E8" s="51" t="s">
        <v>260</v>
      </c>
      <c r="F8" s="51">
        <f>H2*'SAP BOM'!$E8</f>
        <v>0.32</v>
      </c>
      <c r="G8" s="51" t="s">
        <v>37</v>
      </c>
      <c r="H8" s="51"/>
      <c r="I8" s="51"/>
      <c r="J8" s="52"/>
      <c r="K8" s="10"/>
    </row>
    <row r="9" spans="1:14" x14ac:dyDescent="0.25">
      <c r="A9" s="45">
        <v>30</v>
      </c>
      <c r="B9" s="40" t="s">
        <v>223</v>
      </c>
      <c r="C9" s="40"/>
      <c r="D9" s="40" t="s">
        <v>293</v>
      </c>
      <c r="E9" s="40">
        <v>16</v>
      </c>
      <c r="F9" s="40">
        <f t="shared" ref="F9:F34" si="0">IF(E9="","",E9*$H$2)</f>
        <v>1600</v>
      </c>
      <c r="G9" s="40" t="s">
        <v>225</v>
      </c>
      <c r="H9" s="40" t="s">
        <v>294</v>
      </c>
      <c r="I9" s="40" t="s">
        <v>218</v>
      </c>
      <c r="J9" s="46"/>
    </row>
    <row r="10" spans="1:14" x14ac:dyDescent="0.25">
      <c r="A10" s="45">
        <v>40</v>
      </c>
      <c r="B10" s="40" t="s">
        <v>222</v>
      </c>
      <c r="C10" s="40">
        <v>77000013</v>
      </c>
      <c r="D10" s="40" t="s">
        <v>119</v>
      </c>
      <c r="E10" s="40">
        <v>5</v>
      </c>
      <c r="F10" s="40">
        <f t="shared" si="0"/>
        <v>500</v>
      </c>
      <c r="G10" s="40" t="s">
        <v>225</v>
      </c>
      <c r="H10" s="40" t="s">
        <v>280</v>
      </c>
      <c r="I10" s="40" t="s">
        <v>219</v>
      </c>
      <c r="J10" s="46"/>
    </row>
    <row r="11" spans="1:14" x14ac:dyDescent="0.25">
      <c r="A11" s="45">
        <v>50</v>
      </c>
      <c r="B11" s="40" t="s">
        <v>222</v>
      </c>
      <c r="C11" s="40">
        <v>77001182</v>
      </c>
      <c r="D11" s="40" t="s">
        <v>125</v>
      </c>
      <c r="E11" s="40">
        <v>2</v>
      </c>
      <c r="F11" s="40">
        <f t="shared" si="0"/>
        <v>200</v>
      </c>
      <c r="G11" s="40" t="s">
        <v>225</v>
      </c>
      <c r="H11" s="40" t="s">
        <v>281</v>
      </c>
      <c r="I11" s="40" t="s">
        <v>219</v>
      </c>
      <c r="J11" s="46"/>
    </row>
    <row r="12" spans="1:14" x14ac:dyDescent="0.25">
      <c r="A12" s="45">
        <v>60</v>
      </c>
      <c r="B12" s="40" t="s">
        <v>222</v>
      </c>
      <c r="C12" s="40">
        <v>77001494</v>
      </c>
      <c r="D12" s="40" t="s">
        <v>118</v>
      </c>
      <c r="E12" s="40">
        <v>5</v>
      </c>
      <c r="F12" s="40">
        <f t="shared" si="0"/>
        <v>500</v>
      </c>
      <c r="G12" s="40" t="s">
        <v>225</v>
      </c>
      <c r="H12" s="40" t="s">
        <v>282</v>
      </c>
      <c r="I12" s="40" t="s">
        <v>219</v>
      </c>
      <c r="J12" s="46"/>
    </row>
    <row r="13" spans="1:14" x14ac:dyDescent="0.25">
      <c r="A13" s="45">
        <v>70</v>
      </c>
      <c r="B13" s="40" t="s">
        <v>222</v>
      </c>
      <c r="C13" s="40">
        <v>77001538</v>
      </c>
      <c r="D13" s="40" t="s">
        <v>124</v>
      </c>
      <c r="E13" s="40">
        <v>1</v>
      </c>
      <c r="F13" s="40">
        <f t="shared" si="0"/>
        <v>100</v>
      </c>
      <c r="G13" s="40" t="s">
        <v>225</v>
      </c>
      <c r="H13" s="40" t="s">
        <v>96</v>
      </c>
      <c r="I13" s="40" t="s">
        <v>218</v>
      </c>
      <c r="J13" s="46"/>
    </row>
    <row r="14" spans="1:14" x14ac:dyDescent="0.25">
      <c r="A14" s="45">
        <v>80</v>
      </c>
      <c r="B14" s="40" t="s">
        <v>222</v>
      </c>
      <c r="C14" s="40">
        <v>77001538</v>
      </c>
      <c r="D14" s="40" t="s">
        <v>124</v>
      </c>
      <c r="E14" s="40">
        <v>1</v>
      </c>
      <c r="F14" s="40">
        <f t="shared" si="0"/>
        <v>100</v>
      </c>
      <c r="G14" s="40" t="s">
        <v>225</v>
      </c>
      <c r="H14" s="40" t="s">
        <v>95</v>
      </c>
      <c r="I14" s="40" t="s">
        <v>219</v>
      </c>
      <c r="J14" s="46"/>
    </row>
    <row r="15" spans="1:14" x14ac:dyDescent="0.25">
      <c r="A15" s="45">
        <v>90</v>
      </c>
      <c r="B15" s="40" t="s">
        <v>222</v>
      </c>
      <c r="C15" s="40">
        <v>77001574</v>
      </c>
      <c r="D15" s="40" t="s">
        <v>121</v>
      </c>
      <c r="E15" s="40">
        <v>2</v>
      </c>
      <c r="F15" s="40">
        <f t="shared" si="0"/>
        <v>200</v>
      </c>
      <c r="G15" s="40" t="s">
        <v>225</v>
      </c>
      <c r="H15" s="40" t="s">
        <v>283</v>
      </c>
      <c r="I15" s="40" t="s">
        <v>219</v>
      </c>
      <c r="J15" s="46"/>
    </row>
    <row r="16" spans="1:14" x14ac:dyDescent="0.25">
      <c r="A16" s="45">
        <v>100</v>
      </c>
      <c r="B16" s="40" t="s">
        <v>222</v>
      </c>
      <c r="C16" s="40">
        <v>77001580</v>
      </c>
      <c r="D16" s="40" t="s">
        <v>122</v>
      </c>
      <c r="E16" s="40">
        <v>2</v>
      </c>
      <c r="F16" s="40">
        <f t="shared" si="0"/>
        <v>200</v>
      </c>
      <c r="G16" s="40" t="s">
        <v>225</v>
      </c>
      <c r="H16" s="40" t="s">
        <v>284</v>
      </c>
      <c r="I16" s="40" t="s">
        <v>218</v>
      </c>
      <c r="J16" s="46"/>
    </row>
    <row r="17" spans="1:10" x14ac:dyDescent="0.25">
      <c r="A17" s="45">
        <v>110</v>
      </c>
      <c r="B17" s="40" t="s">
        <v>222</v>
      </c>
      <c r="C17" s="40">
        <v>77001672</v>
      </c>
      <c r="D17" s="40" t="s">
        <v>123</v>
      </c>
      <c r="E17" s="40">
        <v>1</v>
      </c>
      <c r="F17" s="40">
        <f t="shared" si="0"/>
        <v>100</v>
      </c>
      <c r="G17" s="40" t="s">
        <v>225</v>
      </c>
      <c r="H17" s="40" t="s">
        <v>94</v>
      </c>
      <c r="I17" s="40" t="s">
        <v>218</v>
      </c>
      <c r="J17" s="46"/>
    </row>
    <row r="18" spans="1:10" x14ac:dyDescent="0.25">
      <c r="A18" s="45">
        <v>120</v>
      </c>
      <c r="B18" s="40" t="s">
        <v>222</v>
      </c>
      <c r="C18" s="40">
        <v>77001672</v>
      </c>
      <c r="D18" s="40" t="s">
        <v>123</v>
      </c>
      <c r="E18" s="40">
        <v>1</v>
      </c>
      <c r="F18" s="40">
        <f t="shared" si="0"/>
        <v>100</v>
      </c>
      <c r="G18" s="40" t="s">
        <v>225</v>
      </c>
      <c r="H18" s="40" t="s">
        <v>93</v>
      </c>
      <c r="I18" s="40" t="s">
        <v>219</v>
      </c>
      <c r="J18" s="46"/>
    </row>
    <row r="19" spans="1:10" x14ac:dyDescent="0.25">
      <c r="A19" s="45">
        <v>130</v>
      </c>
      <c r="B19" s="40" t="s">
        <v>222</v>
      </c>
      <c r="C19" s="40">
        <v>77001886</v>
      </c>
      <c r="D19" s="40" t="s">
        <v>120</v>
      </c>
      <c r="E19" s="40">
        <v>3</v>
      </c>
      <c r="F19" s="40">
        <f t="shared" si="0"/>
        <v>300</v>
      </c>
      <c r="G19" s="40" t="s">
        <v>225</v>
      </c>
      <c r="H19" s="40" t="s">
        <v>285</v>
      </c>
      <c r="I19" s="40" t="s">
        <v>218</v>
      </c>
      <c r="J19" s="46"/>
    </row>
    <row r="20" spans="1:10" x14ac:dyDescent="0.25">
      <c r="A20" s="45">
        <v>140</v>
      </c>
      <c r="B20" s="40" t="s">
        <v>222</v>
      </c>
      <c r="C20" s="40">
        <v>77001966</v>
      </c>
      <c r="D20" s="40" t="s">
        <v>104</v>
      </c>
      <c r="E20" s="40">
        <v>3</v>
      </c>
      <c r="F20" s="40">
        <f t="shared" si="0"/>
        <v>300</v>
      </c>
      <c r="G20" s="40" t="s">
        <v>225</v>
      </c>
      <c r="H20" s="40" t="s">
        <v>286</v>
      </c>
      <c r="I20" s="40" t="s">
        <v>218</v>
      </c>
      <c r="J20" s="46"/>
    </row>
    <row r="21" spans="1:10" x14ac:dyDescent="0.25">
      <c r="A21" s="45">
        <v>150</v>
      </c>
      <c r="B21" s="40" t="s">
        <v>222</v>
      </c>
      <c r="C21" s="40">
        <v>77002067</v>
      </c>
      <c r="D21" s="40" t="s">
        <v>105</v>
      </c>
      <c r="E21" s="40">
        <v>1</v>
      </c>
      <c r="F21" s="40">
        <f t="shared" si="0"/>
        <v>100</v>
      </c>
      <c r="G21" s="40" t="s">
        <v>225</v>
      </c>
      <c r="H21" s="40" t="s">
        <v>44</v>
      </c>
      <c r="I21" s="40" t="s">
        <v>218</v>
      </c>
      <c r="J21" s="46"/>
    </row>
    <row r="22" spans="1:10" x14ac:dyDescent="0.25">
      <c r="A22" s="45">
        <v>160</v>
      </c>
      <c r="B22" s="40" t="s">
        <v>222</v>
      </c>
      <c r="C22" s="40">
        <v>77002352</v>
      </c>
      <c r="D22" s="40" t="s">
        <v>106</v>
      </c>
      <c r="E22" s="40">
        <v>2</v>
      </c>
      <c r="F22" s="40">
        <f t="shared" si="0"/>
        <v>200</v>
      </c>
      <c r="G22" s="40" t="s">
        <v>225</v>
      </c>
      <c r="H22" s="40" t="s">
        <v>287</v>
      </c>
      <c r="I22" s="40" t="s">
        <v>218</v>
      </c>
      <c r="J22" s="46"/>
    </row>
    <row r="23" spans="1:10" x14ac:dyDescent="0.25">
      <c r="A23" s="45">
        <v>170</v>
      </c>
      <c r="B23" s="40" t="s">
        <v>222</v>
      </c>
      <c r="C23" s="40">
        <v>77002680</v>
      </c>
      <c r="D23" s="40" t="s">
        <v>107</v>
      </c>
      <c r="E23" s="40">
        <v>1</v>
      </c>
      <c r="F23" s="40">
        <f t="shared" si="0"/>
        <v>100</v>
      </c>
      <c r="G23" s="40" t="s">
        <v>225</v>
      </c>
      <c r="H23" s="40" t="s">
        <v>47</v>
      </c>
      <c r="I23" s="40" t="s">
        <v>218</v>
      </c>
      <c r="J23" s="46"/>
    </row>
    <row r="24" spans="1:10" x14ac:dyDescent="0.25">
      <c r="A24" s="45">
        <v>180</v>
      </c>
      <c r="B24" s="40" t="s">
        <v>222</v>
      </c>
      <c r="C24" s="40">
        <v>77002739</v>
      </c>
      <c r="D24" s="40" t="s">
        <v>108</v>
      </c>
      <c r="E24" s="40">
        <v>2</v>
      </c>
      <c r="F24" s="40">
        <f t="shared" si="0"/>
        <v>200</v>
      </c>
      <c r="G24" s="40" t="s">
        <v>225</v>
      </c>
      <c r="H24" s="40" t="s">
        <v>288</v>
      </c>
      <c r="I24" s="40" t="s">
        <v>219</v>
      </c>
      <c r="J24" s="46"/>
    </row>
    <row r="25" spans="1:10" x14ac:dyDescent="0.25">
      <c r="A25" s="45">
        <v>190</v>
      </c>
      <c r="B25" s="40" t="s">
        <v>222</v>
      </c>
      <c r="C25" s="40">
        <v>77002746</v>
      </c>
      <c r="D25" s="40" t="s">
        <v>109</v>
      </c>
      <c r="E25" s="40">
        <v>2</v>
      </c>
      <c r="F25" s="40">
        <f t="shared" si="0"/>
        <v>200</v>
      </c>
      <c r="G25" s="40" t="s">
        <v>225</v>
      </c>
      <c r="H25" s="40" t="s">
        <v>289</v>
      </c>
      <c r="I25" s="40" t="s">
        <v>218</v>
      </c>
      <c r="J25" s="46"/>
    </row>
    <row r="26" spans="1:10" x14ac:dyDescent="0.25">
      <c r="A26" s="45">
        <v>200</v>
      </c>
      <c r="B26" s="40" t="s">
        <v>222</v>
      </c>
      <c r="C26" s="40">
        <v>77003338</v>
      </c>
      <c r="D26" s="40" t="s">
        <v>126</v>
      </c>
      <c r="E26" s="40">
        <v>2</v>
      </c>
      <c r="F26" s="40">
        <f t="shared" si="0"/>
        <v>200</v>
      </c>
      <c r="G26" s="40" t="s">
        <v>225</v>
      </c>
      <c r="H26" s="40" t="s">
        <v>290</v>
      </c>
      <c r="I26" s="40" t="s">
        <v>219</v>
      </c>
      <c r="J26" s="46"/>
    </row>
    <row r="27" spans="1:10" x14ac:dyDescent="0.25">
      <c r="A27" s="45">
        <v>210</v>
      </c>
      <c r="B27" s="40" t="s">
        <v>222</v>
      </c>
      <c r="C27" s="40">
        <v>77003870</v>
      </c>
      <c r="D27" s="40" t="s">
        <v>111</v>
      </c>
      <c r="E27" s="40">
        <v>2</v>
      </c>
      <c r="F27" s="40">
        <f t="shared" si="0"/>
        <v>200</v>
      </c>
      <c r="G27" s="40" t="s">
        <v>225</v>
      </c>
      <c r="H27" s="40" t="s">
        <v>291</v>
      </c>
      <c r="I27" s="40" t="s">
        <v>218</v>
      </c>
      <c r="J27" s="46"/>
    </row>
    <row r="28" spans="1:10" x14ac:dyDescent="0.25">
      <c r="A28" s="45">
        <v>220</v>
      </c>
      <c r="B28" s="40" t="s">
        <v>222</v>
      </c>
      <c r="C28" s="40">
        <v>77004170</v>
      </c>
      <c r="D28" s="40" t="s">
        <v>112</v>
      </c>
      <c r="E28" s="40">
        <v>1</v>
      </c>
      <c r="F28" s="40">
        <f t="shared" si="0"/>
        <v>100</v>
      </c>
      <c r="G28" s="40" t="s">
        <v>225</v>
      </c>
      <c r="H28" s="40" t="s">
        <v>55</v>
      </c>
      <c r="I28" s="40" t="s">
        <v>218</v>
      </c>
      <c r="J28" s="46"/>
    </row>
    <row r="29" spans="1:10" x14ac:dyDescent="0.25">
      <c r="A29" s="45">
        <v>230</v>
      </c>
      <c r="B29" s="40" t="s">
        <v>222</v>
      </c>
      <c r="C29" s="40">
        <v>77004393</v>
      </c>
      <c r="D29" s="40" t="s">
        <v>113</v>
      </c>
      <c r="E29" s="40">
        <v>1</v>
      </c>
      <c r="F29" s="40">
        <f t="shared" si="0"/>
        <v>100</v>
      </c>
      <c r="G29" s="40" t="s">
        <v>225</v>
      </c>
      <c r="H29" s="40" t="s">
        <v>56</v>
      </c>
      <c r="I29" s="40" t="s">
        <v>219</v>
      </c>
      <c r="J29" s="46"/>
    </row>
    <row r="30" spans="1:10" x14ac:dyDescent="0.25">
      <c r="A30" s="45">
        <v>240</v>
      </c>
      <c r="B30" s="40" t="s">
        <v>222</v>
      </c>
      <c r="C30" s="40">
        <v>77004429</v>
      </c>
      <c r="D30" s="40" t="s">
        <v>127</v>
      </c>
      <c r="E30" s="40">
        <v>2</v>
      </c>
      <c r="F30" s="40">
        <f t="shared" si="0"/>
        <v>200</v>
      </c>
      <c r="G30" s="40" t="s">
        <v>225</v>
      </c>
      <c r="H30" s="40" t="s">
        <v>292</v>
      </c>
      <c r="I30" s="40" t="s">
        <v>218</v>
      </c>
      <c r="J30" s="46"/>
    </row>
    <row r="31" spans="1:10" x14ac:dyDescent="0.25">
      <c r="A31" s="45">
        <v>250</v>
      </c>
      <c r="B31" s="40" t="s">
        <v>222</v>
      </c>
      <c r="C31" s="40">
        <v>77004429</v>
      </c>
      <c r="D31" s="40" t="s">
        <v>127</v>
      </c>
      <c r="E31" s="40">
        <v>1</v>
      </c>
      <c r="F31" s="40">
        <f t="shared" si="0"/>
        <v>100</v>
      </c>
      <c r="G31" s="40" t="s">
        <v>225</v>
      </c>
      <c r="H31" s="40" t="s">
        <v>101</v>
      </c>
      <c r="I31" s="40" t="s">
        <v>219</v>
      </c>
      <c r="J31" s="46"/>
    </row>
    <row r="32" spans="1:10" x14ac:dyDescent="0.25">
      <c r="A32" s="45">
        <v>260</v>
      </c>
      <c r="B32" s="40" t="s">
        <v>222</v>
      </c>
      <c r="C32" s="40">
        <v>77004448</v>
      </c>
      <c r="D32" s="40" t="s">
        <v>114</v>
      </c>
      <c r="E32" s="40">
        <v>1</v>
      </c>
      <c r="F32" s="40">
        <f t="shared" si="0"/>
        <v>100</v>
      </c>
      <c r="G32" s="40" t="s">
        <v>225</v>
      </c>
      <c r="H32" s="40" t="s">
        <v>57</v>
      </c>
      <c r="I32" s="40" t="s">
        <v>219</v>
      </c>
      <c r="J32" s="46"/>
    </row>
    <row r="33" spans="1:10" x14ac:dyDescent="0.25">
      <c r="A33" s="45">
        <v>270</v>
      </c>
      <c r="B33" s="40" t="s">
        <v>222</v>
      </c>
      <c r="C33" s="40">
        <v>77004600</v>
      </c>
      <c r="D33" s="40" t="s">
        <v>115</v>
      </c>
      <c r="E33" s="40">
        <v>1</v>
      </c>
      <c r="F33" s="40">
        <f t="shared" si="0"/>
        <v>100</v>
      </c>
      <c r="G33" s="40" t="s">
        <v>225</v>
      </c>
      <c r="H33" s="40" t="s">
        <v>58</v>
      </c>
      <c r="I33" s="40" t="s">
        <v>219</v>
      </c>
      <c r="J33" s="46"/>
    </row>
    <row r="34" spans="1:10" x14ac:dyDescent="0.25">
      <c r="A34" s="47">
        <v>280</v>
      </c>
      <c r="B34" s="48" t="s">
        <v>222</v>
      </c>
      <c r="C34" s="48">
        <v>80122601</v>
      </c>
      <c r="D34" s="48" t="s">
        <v>116</v>
      </c>
      <c r="E34" s="48">
        <v>1</v>
      </c>
      <c r="F34" s="48">
        <f t="shared" si="0"/>
        <v>100</v>
      </c>
      <c r="G34" s="48" t="s">
        <v>225</v>
      </c>
      <c r="H34" s="48" t="s">
        <v>59</v>
      </c>
      <c r="I34" s="48" t="s">
        <v>219</v>
      </c>
      <c r="J34" s="49"/>
    </row>
  </sheetData>
  <sortState xmlns:xlrd2="http://schemas.microsoft.com/office/spreadsheetml/2017/richdata2" ref="B9:J506">
    <sortCondition ref="B9:B506"/>
  </sortState>
  <mergeCells count="6">
    <mergeCell ref="A1:C1"/>
    <mergeCell ref="A2:C2"/>
    <mergeCell ref="D3:E3"/>
    <mergeCell ref="F3:G3"/>
    <mergeCell ref="F4:G4"/>
    <mergeCell ref="D4:E4"/>
  </mergeCells>
  <phoneticPr fontId="7" type="noConversion"/>
  <conditionalFormatting sqref="A1:XFD6 K7:XFD7 A507:XFD1048576 K9:XFD506">
    <cfRule type="expression" dxfId="34" priority="1">
      <formula>$L$3&lt;&gt;$L$5</formula>
    </cfRule>
    <cfRule type="expression" priority="2">
      <formula>$L$3=$L$5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2" altText="Bom Conversion">
                <anchor moveWithCells="1" sizeWithCells="1">
                  <from>
                    <xdr:col>0</xdr:col>
                    <xdr:colOff>182880</xdr:colOff>
                    <xdr:row>2</xdr:row>
                    <xdr:rowOff>106680</xdr:rowOff>
                  </from>
                  <to>
                    <xdr:col>2</xdr:col>
                    <xdr:colOff>838200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4DF8E-298A-4333-95DD-B27BB74425F6}">
  <dimension ref="B1:L27"/>
  <sheetViews>
    <sheetView showGridLines="0" workbookViewId="0">
      <selection activeCell="Q28" sqref="Q28"/>
    </sheetView>
  </sheetViews>
  <sheetFormatPr defaultRowHeight="14.4" x14ac:dyDescent="0.25"/>
  <cols>
    <col min="2" max="2" width="3.109375" customWidth="1"/>
    <col min="3" max="3" width="15" customWidth="1"/>
    <col min="4" max="11" width="11" customWidth="1"/>
    <col min="12" max="12" width="3.44140625" customWidth="1"/>
  </cols>
  <sheetData>
    <row r="1" spans="2:12" ht="15" thickBot="1" x14ac:dyDescent="0.3"/>
    <row r="2" spans="2:12" x14ac:dyDescent="0.25">
      <c r="B2" s="22"/>
      <c r="C2" s="23"/>
      <c r="D2" s="23"/>
      <c r="E2" s="23"/>
      <c r="F2" s="23"/>
      <c r="G2" s="23"/>
      <c r="H2" s="23"/>
      <c r="I2" s="23"/>
      <c r="J2" s="23"/>
      <c r="K2" s="23"/>
      <c r="L2" s="24"/>
    </row>
    <row r="3" spans="2:12" ht="20.399999999999999" x14ac:dyDescent="0.3">
      <c r="B3" s="25"/>
      <c r="C3" s="26" t="s">
        <v>261</v>
      </c>
      <c r="L3" s="27"/>
    </row>
    <row r="4" spans="2:12" ht="15" thickBot="1" x14ac:dyDescent="0.3">
      <c r="B4" s="25"/>
      <c r="L4" s="27"/>
    </row>
    <row r="5" spans="2:12" x14ac:dyDescent="0.25">
      <c r="B5" s="25"/>
      <c r="C5" s="62" t="s">
        <v>23</v>
      </c>
      <c r="D5" s="64" t="s">
        <v>262</v>
      </c>
      <c r="E5" s="65"/>
      <c r="F5" s="66"/>
      <c r="G5" s="67" t="s">
        <v>263</v>
      </c>
      <c r="H5" s="68"/>
      <c r="I5" s="68"/>
      <c r="J5" s="68"/>
      <c r="K5" s="69"/>
      <c r="L5" s="27"/>
    </row>
    <row r="6" spans="2:12" x14ac:dyDescent="0.25">
      <c r="B6" s="25"/>
      <c r="C6" s="63"/>
      <c r="D6" s="28" t="s">
        <v>1</v>
      </c>
      <c r="E6" s="29" t="s">
        <v>13</v>
      </c>
      <c r="F6" s="29" t="s">
        <v>24</v>
      </c>
      <c r="G6" s="30" t="s">
        <v>25</v>
      </c>
      <c r="H6" s="30" t="s">
        <v>13</v>
      </c>
      <c r="I6" s="30" t="s">
        <v>26</v>
      </c>
      <c r="J6" s="30" t="s">
        <v>27</v>
      </c>
      <c r="K6" s="31" t="s">
        <v>28</v>
      </c>
      <c r="L6" s="27"/>
    </row>
    <row r="7" spans="2:12" x14ac:dyDescent="0.25">
      <c r="B7" s="25"/>
      <c r="C7" s="16" t="s">
        <v>2</v>
      </c>
      <c r="D7" s="17" t="s">
        <v>264</v>
      </c>
      <c r="E7" s="5" t="s">
        <v>265</v>
      </c>
      <c r="F7" s="18" t="s">
        <v>266</v>
      </c>
      <c r="G7" s="5" t="s">
        <v>267</v>
      </c>
      <c r="H7" s="5" t="s">
        <v>266</v>
      </c>
      <c r="I7" s="5" t="s">
        <v>266</v>
      </c>
      <c r="J7" s="5" t="s">
        <v>266</v>
      </c>
      <c r="K7" s="19" t="s">
        <v>266</v>
      </c>
      <c r="L7" s="27"/>
    </row>
    <row r="8" spans="2:12" x14ac:dyDescent="0.25">
      <c r="B8" s="25"/>
      <c r="C8" s="16" t="s">
        <v>3</v>
      </c>
      <c r="D8" s="17" t="s">
        <v>268</v>
      </c>
      <c r="E8" s="5" t="s">
        <v>269</v>
      </c>
      <c r="F8" s="18" t="s">
        <v>266</v>
      </c>
      <c r="G8" s="5" t="s">
        <v>267</v>
      </c>
      <c r="H8" s="5" t="s">
        <v>266</v>
      </c>
      <c r="I8" s="5" t="s">
        <v>266</v>
      </c>
      <c r="J8" s="5" t="s">
        <v>266</v>
      </c>
      <c r="K8" s="19" t="s">
        <v>266</v>
      </c>
      <c r="L8" s="27"/>
    </row>
    <row r="9" spans="2:12" x14ac:dyDescent="0.25">
      <c r="B9" s="25"/>
      <c r="C9" s="16" t="s">
        <v>4</v>
      </c>
      <c r="D9" s="17"/>
      <c r="E9" s="5"/>
      <c r="F9" s="18"/>
      <c r="G9" s="5"/>
      <c r="H9" s="5"/>
      <c r="I9" s="5"/>
      <c r="J9" s="5"/>
      <c r="K9" s="19"/>
      <c r="L9" s="27"/>
    </row>
    <row r="10" spans="2:12" x14ac:dyDescent="0.25">
      <c r="B10" s="25"/>
      <c r="C10" s="16" t="s">
        <v>5</v>
      </c>
      <c r="D10" s="17"/>
      <c r="E10" s="5"/>
      <c r="F10" s="18"/>
      <c r="G10" s="5"/>
      <c r="H10" s="5"/>
      <c r="I10" s="5"/>
      <c r="J10" s="5"/>
      <c r="K10" s="19"/>
      <c r="L10" s="27"/>
    </row>
    <row r="11" spans="2:12" x14ac:dyDescent="0.25">
      <c r="B11" s="25"/>
      <c r="C11" s="16" t="s">
        <v>6</v>
      </c>
      <c r="D11" s="17"/>
      <c r="E11" s="5"/>
      <c r="F11" s="18"/>
      <c r="G11" s="5"/>
      <c r="H11" s="5"/>
      <c r="I11" s="5"/>
      <c r="J11" s="5"/>
      <c r="K11" s="19"/>
      <c r="L11" s="27"/>
    </row>
    <row r="12" spans="2:12" x14ac:dyDescent="0.25">
      <c r="B12" s="25"/>
      <c r="C12" s="16" t="s">
        <v>7</v>
      </c>
      <c r="D12" s="17"/>
      <c r="E12" s="5"/>
      <c r="F12" s="18"/>
      <c r="G12" s="5"/>
      <c r="H12" s="5"/>
      <c r="I12" s="5"/>
      <c r="J12" s="5"/>
      <c r="K12" s="19"/>
      <c r="L12" s="27"/>
    </row>
    <row r="13" spans="2:12" x14ac:dyDescent="0.25">
      <c r="B13" s="25"/>
      <c r="C13" s="16" t="s">
        <v>8</v>
      </c>
      <c r="D13" s="17"/>
      <c r="E13" s="5"/>
      <c r="F13" s="18"/>
      <c r="G13" s="5"/>
      <c r="H13" s="5"/>
      <c r="I13" s="5"/>
      <c r="J13" s="5"/>
      <c r="K13" s="19"/>
      <c r="L13" s="27"/>
    </row>
    <row r="14" spans="2:12" x14ac:dyDescent="0.25">
      <c r="B14" s="25"/>
      <c r="C14" s="16" t="s">
        <v>9</v>
      </c>
      <c r="D14" s="17"/>
      <c r="E14" s="5"/>
      <c r="F14" s="18"/>
      <c r="G14" s="5"/>
      <c r="H14" s="5"/>
      <c r="I14" s="5"/>
      <c r="J14" s="5"/>
      <c r="K14" s="19"/>
      <c r="L14" s="27"/>
    </row>
    <row r="15" spans="2:12" x14ac:dyDescent="0.25">
      <c r="B15" s="25"/>
      <c r="C15" s="16" t="s">
        <v>10</v>
      </c>
      <c r="D15" s="17"/>
      <c r="E15" s="5"/>
      <c r="F15" s="18"/>
      <c r="G15" s="5"/>
      <c r="H15" s="5"/>
      <c r="I15" s="5"/>
      <c r="J15" s="5"/>
      <c r="K15" s="19"/>
      <c r="L15" s="27"/>
    </row>
    <row r="16" spans="2:12" x14ac:dyDescent="0.25">
      <c r="B16" s="25"/>
      <c r="C16" s="16" t="s">
        <v>11</v>
      </c>
      <c r="D16" s="17"/>
      <c r="E16" s="5"/>
      <c r="F16" s="18"/>
      <c r="G16" s="5"/>
      <c r="H16" s="5"/>
      <c r="I16" s="5"/>
      <c r="J16" s="5"/>
      <c r="K16" s="19"/>
      <c r="L16" s="27"/>
    </row>
    <row r="17" spans="2:12" x14ac:dyDescent="0.25">
      <c r="B17" s="25"/>
      <c r="C17" s="16" t="s">
        <v>270</v>
      </c>
      <c r="D17" s="17"/>
      <c r="E17" s="5"/>
      <c r="F17" s="18"/>
      <c r="G17" s="5"/>
      <c r="H17" s="5"/>
      <c r="I17" s="5"/>
      <c r="J17" s="5"/>
      <c r="K17" s="19"/>
      <c r="L17" s="27"/>
    </row>
    <row r="18" spans="2:12" x14ac:dyDescent="0.25">
      <c r="B18" s="25"/>
      <c r="C18" s="16" t="s">
        <v>271</v>
      </c>
      <c r="D18" s="17"/>
      <c r="E18" s="5"/>
      <c r="F18" s="18"/>
      <c r="G18" s="5"/>
      <c r="H18" s="5"/>
      <c r="I18" s="5"/>
      <c r="J18" s="5"/>
      <c r="K18" s="19"/>
      <c r="L18" s="27"/>
    </row>
    <row r="19" spans="2:12" x14ac:dyDescent="0.25">
      <c r="B19" s="25"/>
      <c r="C19" s="16" t="s">
        <v>272</v>
      </c>
      <c r="D19" s="17"/>
      <c r="E19" s="5"/>
      <c r="F19" s="18"/>
      <c r="G19" s="5"/>
      <c r="H19" s="5"/>
      <c r="I19" s="5"/>
      <c r="J19" s="5"/>
      <c r="K19" s="19"/>
      <c r="L19" s="27"/>
    </row>
    <row r="20" spans="2:12" x14ac:dyDescent="0.25">
      <c r="B20" s="25"/>
      <c r="C20" s="16" t="s">
        <v>273</v>
      </c>
      <c r="D20" s="17"/>
      <c r="E20" s="5"/>
      <c r="F20" s="18"/>
      <c r="G20" s="5"/>
      <c r="H20" s="5"/>
      <c r="I20" s="5"/>
      <c r="J20" s="5"/>
      <c r="K20" s="19"/>
      <c r="L20" s="27"/>
    </row>
    <row r="21" spans="2:12" x14ac:dyDescent="0.25">
      <c r="B21" s="25"/>
      <c r="C21" s="16" t="s">
        <v>274</v>
      </c>
      <c r="D21" s="17"/>
      <c r="E21" s="5"/>
      <c r="F21" s="18"/>
      <c r="G21" s="5"/>
      <c r="H21" s="5"/>
      <c r="I21" s="5"/>
      <c r="J21" s="5"/>
      <c r="K21" s="19"/>
      <c r="L21" s="27"/>
    </row>
    <row r="22" spans="2:12" x14ac:dyDescent="0.25">
      <c r="B22" s="25"/>
      <c r="C22" s="16" t="s">
        <v>275</v>
      </c>
      <c r="D22" s="17"/>
      <c r="E22" s="5"/>
      <c r="F22" s="18"/>
      <c r="G22" s="5"/>
      <c r="H22" s="5"/>
      <c r="I22" s="5"/>
      <c r="J22" s="5"/>
      <c r="K22" s="19"/>
      <c r="L22" s="27"/>
    </row>
    <row r="23" spans="2:12" x14ac:dyDescent="0.25">
      <c r="B23" s="25"/>
      <c r="C23" s="16" t="s">
        <v>276</v>
      </c>
      <c r="D23" s="17"/>
      <c r="E23" s="5"/>
      <c r="F23" s="18"/>
      <c r="G23" s="5"/>
      <c r="H23" s="5"/>
      <c r="I23" s="5"/>
      <c r="J23" s="5"/>
      <c r="K23" s="19"/>
      <c r="L23" s="27"/>
    </row>
    <row r="24" spans="2:12" x14ac:dyDescent="0.25">
      <c r="B24" s="25"/>
      <c r="C24" s="16" t="s">
        <v>277</v>
      </c>
      <c r="D24" s="17"/>
      <c r="E24" s="5"/>
      <c r="F24" s="18"/>
      <c r="G24" s="5"/>
      <c r="H24" s="5"/>
      <c r="I24" s="5"/>
      <c r="J24" s="5"/>
      <c r="K24" s="19"/>
      <c r="L24" s="27"/>
    </row>
    <row r="25" spans="2:12" x14ac:dyDescent="0.25">
      <c r="B25" s="25"/>
      <c r="C25" s="16" t="s">
        <v>278</v>
      </c>
      <c r="D25" s="17"/>
      <c r="E25" s="5"/>
      <c r="F25" s="18"/>
      <c r="G25" s="5"/>
      <c r="H25" s="5"/>
      <c r="I25" s="5"/>
      <c r="J25" s="5"/>
      <c r="K25" s="19"/>
      <c r="L25" s="27"/>
    </row>
    <row r="26" spans="2:12" ht="15" thickBot="1" x14ac:dyDescent="0.3">
      <c r="B26" s="25"/>
      <c r="C26" s="32" t="s">
        <v>279</v>
      </c>
      <c r="D26" s="33"/>
      <c r="E26" s="34"/>
      <c r="F26" s="35"/>
      <c r="G26" s="34"/>
      <c r="H26" s="34"/>
      <c r="I26" s="34"/>
      <c r="J26" s="34"/>
      <c r="K26" s="36"/>
      <c r="L26" s="27"/>
    </row>
    <row r="27" spans="2:12" ht="15" thickBot="1" x14ac:dyDescent="0.3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9"/>
    </row>
  </sheetData>
  <mergeCells count="3">
    <mergeCell ref="C5:C6"/>
    <mergeCell ref="D5:F5"/>
    <mergeCell ref="G5:K5"/>
  </mergeCells>
  <phoneticPr fontId="7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ject_x0020_No_x002e_ xmlns="906ce6f6-6dca-4ab8-a7b5-e01545bafcaa" xsi:nil="true"/>
    <Material_x0020_No_x002e_ xmlns="906ce6f6-6dca-4ab8-a7b5-e01545bafcaa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019C9F1273B344955D63E2C33AD5A5" ma:contentTypeVersion="2" ma:contentTypeDescription="Create a new document." ma:contentTypeScope="" ma:versionID="a7aaa929c23b6a58c5d1dd1dcaf5b4a0">
  <xsd:schema xmlns:xsd="http://www.w3.org/2001/XMLSchema" xmlns:xs="http://www.w3.org/2001/XMLSchema" xmlns:p="http://schemas.microsoft.com/office/2006/metadata/properties" xmlns:ns2="906ce6f6-6dca-4ab8-a7b5-e01545bafcaa" targetNamespace="http://schemas.microsoft.com/office/2006/metadata/properties" ma:root="true" ma:fieldsID="90800c4e80451797c72d7b8d5d98210a" ns2:_="">
    <xsd:import namespace="906ce6f6-6dca-4ab8-a7b5-e01545bafcaa"/>
    <xsd:element name="properties">
      <xsd:complexType>
        <xsd:sequence>
          <xsd:element name="documentManagement">
            <xsd:complexType>
              <xsd:all>
                <xsd:element ref="ns2:Material_x0020_No_x002e_" minOccurs="0"/>
                <xsd:element ref="ns2:Project_x0020_No_x002e_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6ce6f6-6dca-4ab8-a7b5-e01545bafcaa" elementFormDefault="qualified">
    <xsd:import namespace="http://schemas.microsoft.com/office/2006/documentManagement/types"/>
    <xsd:import namespace="http://schemas.microsoft.com/office/infopath/2007/PartnerControls"/>
    <xsd:element name="Material_x0020_No_x002e_" ma:index="2" nillable="true" ma:displayName="Material No." ma:internalName="Material_x0020_No_x002e_">
      <xsd:simpleType>
        <xsd:restriction base="dms:Text">
          <xsd:maxLength value="10"/>
        </xsd:restriction>
      </xsd:simpleType>
    </xsd:element>
    <xsd:element name="Project_x0020_No_x002e_" ma:index="9" nillable="true" ma:displayName="Project No." ma:internalName="Project_x0020_No_x002e_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719825-D500-4E88-9F46-686A8E711027}">
  <ds:schemaRefs>
    <ds:schemaRef ds:uri="http://schemas.microsoft.com/office/2006/metadata/properties"/>
    <ds:schemaRef ds:uri="http://schemas.microsoft.com/office/infopath/2007/PartnerControls"/>
    <ds:schemaRef ds:uri="906ce6f6-6dca-4ab8-a7b5-e01545bafcaa"/>
  </ds:schemaRefs>
</ds:datastoreItem>
</file>

<file path=customXml/itemProps2.xml><?xml version="1.0" encoding="utf-8"?>
<ds:datastoreItem xmlns:ds="http://schemas.openxmlformats.org/officeDocument/2006/customXml" ds:itemID="{499A6B42-EE6B-4439-80E8-3B60838930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6ce6f6-6dca-4ab8-a7b5-e01545bafca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4B8F41-2D7B-42B9-B922-1B322DE2502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SAP BOM</vt:lpstr>
      <vt:lpstr>Combination matrix</vt:lpstr>
    </vt:vector>
  </TitlesOfParts>
  <Company>ZKW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wnwaro</dc:creator>
  <cp:lastModifiedBy>Zhang Allen</cp:lastModifiedBy>
  <dcterms:created xsi:type="dcterms:W3CDTF">2016-02-22T10:04:27Z</dcterms:created>
  <dcterms:modified xsi:type="dcterms:W3CDTF">2026-07-27T08:57:29Z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0x01010079019C9F1273B344955D63E2C33AD5A5</vt:lpwstr>
  </property>
</Properties>
</file>